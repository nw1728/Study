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earch log" sheetId="2" state="visible" r:id="rId4"/>
    <sheet name="Criteria" sheetId="3" state="visible" r:id="rId5"/>
    <sheet name="Screening" sheetId="4" state="visible" r:id="rId6"/>
    <sheet name="PRISMA" sheetId="5" state="visible" r:id="rId7"/>
    <sheet name="Reading list" sheetId="6" state="visible" r:id="rId8"/>
  </sheets>
  <definedNames>
    <definedName function="false" hidden="true" localSheetId="5" name="_xlnm._FilterDatabase" vbProcedure="false">'Reading list'!$A$1:$H$45</definedName>
    <definedName function="false" hidden="true" localSheetId="3" name="_xlnm._FilterDatabase" vbProcedure="false">Screening!$A$1:$P$510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<sst xmlns="http://schemas.openxmlformats.org/spreadsheetml/2006/main" count="5990" uniqueCount="3038">
  <si>
    <t xml:space="preserve">ARS Literature Review: Scopus screening (S1, S2, S3b)</t>
  </si>
  <si>
    <t xml:space="preserve">Prepared 07-10-2026 for Ethan Bastian &amp; Ethan Croes (CS/IST pre-master, ARS, DACS4)</t>
  </si>
  <si>
    <t xml:space="preserve">What this file is</t>
  </si>
  <si>
    <t xml:space="preserve">Title/abstract screening of all 509 unique records found in Scopus, with a suggested decision and reason for each.</t>
  </si>
  <si>
    <t xml:space="preserve">The suggestions were made by an AI assistant (Claude) from titles and abstracts only. You must check them: you are responsible for the final decisions.</t>
  </si>
  <si>
    <t xml:space="preserve">How to check the screening</t>
  </si>
  <si>
    <t xml:space="preserve">1. Go to the Screening sheet. Column I shows the AI suggestion, column J the reason code (see Criteria sheet).</t>
  </si>
  <si>
    <t xml:space="preserve">2. If you agree, leave column N (yellow) empty. If you disagree, type your own decision in column N: Include, or an exclusion code such as EC6.</t>
  </si>
  <si>
    <t xml:space="preserve">3. Column O (Final decision) updates automatically, and so do the counts on the PRISMA sheet.</t>
  </si>
  <si>
    <t xml:space="preserve">4. Use the filter arrows in the header row to show e.g. only Section 2.3 or only High priority.</t>
  </si>
  <si>
    <t xml:space="preserve">Example: row R013 (LoRa relay for detonating explosives) is suggested as EC7. If you think it belongs in 2.1, type Include in N.</t>
  </si>
  <si>
    <t xml:space="preserve">Priority (column M), for included records only</t>
  </si>
  <si>
    <t xml:space="preserve">High = core paper for your section, read the full text first (listed on the Reading list sheet).</t>
  </si>
  <si>
    <t xml:space="preserve">Medium = useful supporting paper, read if you need more evidence or a comparison.</t>
  </si>
  <si>
    <t xml:space="preserve">Low = relevant but marginal; cite only if needed.</t>
  </si>
  <si>
    <t xml:space="preserve">Sheets</t>
  </si>
  <si>
    <t xml:space="preserve">Search log: the searches as run, with result counts (replicable).</t>
  </si>
  <si>
    <t xml:space="preserve">Criteria: inclusion criteria, exclusion codes, and category labels.</t>
  </si>
  <si>
    <t xml:space="preserve">Screening: every record with decision, reason, section, category, priority, DOI and abstract.</t>
  </si>
  <si>
    <t xml:space="preserve">PRISMA: live counts for the PRISMA flow diagram. Yellow cells for the full-text stage are for you to fill in.</t>
  </si>
  <si>
    <t xml:space="preserve">Reading list: the High-priority papers per section, to read in full.</t>
  </si>
  <si>
    <t xml:space="preserve">Note: EC6 and EC7 were added during screening because many records were off-topic or only applications. Add them to the exclusion criteria in your review.</t>
  </si>
  <si>
    <t xml:space="preserve">#</t>
  </si>
  <si>
    <t xml:space="preserve">Date</t>
  </si>
  <si>
    <t xml:space="preserve">Database</t>
  </si>
  <si>
    <t xml:space="preserve">Purpose</t>
  </si>
  <si>
    <t xml:space="preserve">Search string</t>
  </si>
  <si>
    <t xml:space="preserve">Filters</t>
  </si>
  <si>
    <t xml:space="preserve">Results</t>
  </si>
  <si>
    <t xml:space="preserve">Note</t>
  </si>
  <si>
    <t xml:space="preserve">S1</t>
  </si>
  <si>
    <t xml:space="preserve">07-10-2026</t>
  </si>
  <si>
    <t xml:space="preserve">Scopus</t>
  </si>
  <si>
    <t xml:space="preserve">Routing in LoRa mesh networks (2.1)</t>
  </si>
  <si>
    <t xml:space="preserve">TITLE-ABS-KEY( ("LoRa" OR "Meshtastic" OR "MeshCore") AND (mesh OR "multi-hop" OR multihop) AND (routing OR flooding OR relay*) ) AND PUBYEAR &gt; 2013 AND PUBYEAR &lt; 2027</t>
  </si>
  <si>
    <t xml:space="preserve">None</t>
  </si>
  <si>
    <t xml:space="preserve">Used</t>
  </si>
  <si>
    <t xml:space="preserve">S2</t>
  </si>
  <si>
    <t xml:space="preserve">Security problems in LoRa mesh / multi-hop (2.1, 2.2)</t>
  </si>
  <si>
    <t xml:space="preserve">TITLE-ABS-KEY( ("LoRa" OR "LPWAN" OR "Meshtastic" OR "MeshCore") AND (mesh OR "multi-hop" OR multihop OR routing) AND (security OR confidentiality OR vulnerabilit* OR attack*) ) AND PUBYEAR &gt; 2013 AND PUBYEAR &lt; 2027</t>
  </si>
  <si>
    <t xml:space="preserve">S3</t>
  </si>
  <si>
    <t xml:space="preserve">Hardware limits of security on constrained devices (2.3)</t>
  </si>
  <si>
    <t xml:space="preserve">TITLE-ABS-KEY( ("LoRa" OR "LPWAN" OR microcontroller* OR "ESP32" OR "nRF52*" OR "RP2040") AND ("lightweight cryptography" OR "lightweight encryption" OR "embedded security" OR "resource-constrained" OR "constrained device*") AND (encryption OR authentication OR "energy consumption" OR memory) ) AND PUBYEAR &gt; 2013 AND PUBYEAR &lt; 2027</t>
  </si>
  <si>
    <t xml:space="preserve">Too broad: matched machine-learning "LoRA" (Low-Rank Adaptation) and TinyML papers. Refined to S3b; not screened</t>
  </si>
  <si>
    <t xml:space="preserve">S3b</t>
  </si>
  <si>
    <t xml:space="preserve">TITLE-ABS-KEY( ("LoRa" OR "LPWAN" OR "ESP32" OR "nRF52*" OR "RP2040" OR "Cortex-M*") AND ("lightweight cryptography" OR "lightweight encryption" OR "embedded security" OR "resource-constrained" OR "constrained device*") AND (encrypt* OR cryptograph* OR cipher* OR authenticat*) ) AND NOT TITLE-ABS-KEY("low-rank") AND PUBYEAR &gt; 2013 AND PUBYEAR &lt; 2027</t>
  </si>
  <si>
    <t xml:space="preserve">IEEE</t>
  </si>
  <si>
    <t xml:space="preserve">IEEE Xplore</t>
  </si>
  <si>
    <t xml:space="preserve">(planned)</t>
  </si>
  <si>
    <t xml:space="preserve">Same as S1, S2, S3b without TITLE-ABS-KEY / PUBYEAR</t>
  </si>
  <si>
    <t xml:space="preserve">2014-2026</t>
  </si>
  <si>
    <t xml:space="preserve">Access refused on 07-10-2026; not run. Scopus already indexes most IEEE papers.</t>
  </si>
  <si>
    <t xml:space="preserve">Code</t>
  </si>
  <si>
    <t xml:space="preserve">Criterion</t>
  </si>
  <si>
    <t xml:space="preserve">Why</t>
  </si>
  <si>
    <t xml:space="preserve">IC1</t>
  </si>
  <si>
    <t xml:space="preserve">Published 2014-2026</t>
  </si>
  <si>
    <t xml:space="preserve">LoRa became available around 2014-2015</t>
  </si>
  <si>
    <t xml:space="preserve">IC2</t>
  </si>
  <si>
    <t xml:space="preserve">Written in English</t>
  </si>
  <si>
    <t xml:space="preserve">Most academic output is in English (ARS3 lecture)</t>
  </si>
  <si>
    <t xml:space="preserve">IC3</t>
  </si>
  <si>
    <t xml:space="preserve">Peer-reviewed journal/conference paper or book chapter (grey literature added separately)</t>
  </si>
  <si>
    <t xml:space="preserve">Quality of sources</t>
  </si>
  <si>
    <t xml:space="preserve">IC4</t>
  </si>
  <si>
    <t xml:space="preserve">(2.1) Describes routing/forwarding in multi-hop or mesh LoRa, or its security weaknesses</t>
  </si>
  <si>
    <t xml:space="preserve">Sub-question 1</t>
  </si>
  <si>
    <t xml:space="preserve">IC5</t>
  </si>
  <si>
    <t xml:space="preserve">(2.3) Implements, measures or analyses the cost of security mechanisms on LoRa-class microcontrollers</t>
  </si>
  <si>
    <t xml:space="preserve">Sub-question 3</t>
  </si>
  <si>
    <t xml:space="preserve">IC6</t>
  </si>
  <si>
    <t xml:space="preserve">Full text accessible (open access or via UT library)</t>
  </si>
  <si>
    <t xml:space="preserve">Checked at full-text stage</t>
  </si>
  <si>
    <t xml:space="preserve">Exclusion reason</t>
  </si>
  <si>
    <t xml:space="preserve">Count (live)</t>
  </si>
  <si>
    <t xml:space="preserve">EC1</t>
  </si>
  <si>
    <t xml:space="preserve">Single-hop / star LoRaWAN only, no multi-hop element</t>
  </si>
  <si>
    <t xml:space="preserve">EC2</t>
  </si>
  <si>
    <t xml:space="preserve">Physical layer only (modulation, coding, interference); no routing or security relevance</t>
  </si>
  <si>
    <t xml:space="preserve">EC3</t>
  </si>
  <si>
    <t xml:space="preserve">Hardware far above LoRa-node class (e.g. Linux servers, cloud)</t>
  </si>
  <si>
    <t xml:space="preserve">EC4</t>
  </si>
  <si>
    <t xml:space="preserve">Not a full paper (proceedings front matter, poster, demo, short abstract)</t>
  </si>
  <si>
    <t xml:space="preserve">EC5</t>
  </si>
  <si>
    <t xml:space="preserve">Duplicate or earlier version of a paper already screened</t>
  </si>
  <si>
    <t xml:space="preserve">EC6</t>
  </si>
  <si>
    <t xml:space="preserve">Off-topic: not about LoRa multi-hop routing/security, nor security cost on constrained hardware</t>
  </si>
  <si>
    <t xml:space="preserve">EC7</t>
  </si>
  <si>
    <t xml:space="preserve">Application-focused: uses LoRa (mesh) as a tool, no analysis of routing or security mechanisms</t>
  </si>
  <si>
    <t xml:space="preserve">EC8</t>
  </si>
  <si>
    <t xml:space="preserve">Not written in English</t>
  </si>
  <si>
    <t xml:space="preserve">Category</t>
  </si>
  <si>
    <t xml:space="preserve">Meaning</t>
  </si>
  <si>
    <t xml:space="preserve">Section</t>
  </si>
  <si>
    <t xml:space="preserve">SURVEY</t>
  </si>
  <si>
    <t xml:space="preserve">Survey or review of multi-hop / mesh LoRa</t>
  </si>
  <si>
    <t xml:space="preserve">2.1</t>
  </si>
  <si>
    <t xml:space="preserve">COMMUNITY</t>
  </si>
  <si>
    <t xml:space="preserve">Meshtastic, MeshCore, Pymesh or other community mesh systems</t>
  </si>
  <si>
    <t xml:space="preserve">PROTO</t>
  </si>
  <si>
    <t xml:space="preserve">Routing protocol design or evaluation for LoRa mesh</t>
  </si>
  <si>
    <t xml:space="preserve">FLOOD</t>
  </si>
  <si>
    <t xml:space="preserve">Flooding, gossip, broadcast or concurrent-transmission forwarding</t>
  </si>
  <si>
    <t xml:space="preserve">RELAY</t>
  </si>
  <si>
    <t xml:space="preserve">Relays or LoRaWAN multi-hop extensions (gateway-centred)</t>
  </si>
  <si>
    <t xml:space="preserve">EVAL</t>
  </si>
  <si>
    <t xml:space="preserve">Experimental or simulation evaluation of a LoRa mesh</t>
  </si>
  <si>
    <t xml:space="preserve">SEC</t>
  </si>
  <si>
    <t xml:space="preserve">Security weaknesses or protection in LoRa mesh / multi-hop</t>
  </si>
  <si>
    <t xml:space="preserve">2.1 / 2.2</t>
  </si>
  <si>
    <t xml:space="preserve">FOR24</t>
  </si>
  <si>
    <t xml:space="preserve">Secure-routing or trust technique (general, for 2.4)</t>
  </si>
  <si>
    <t xml:space="preserve">2.4</t>
  </si>
  <si>
    <t xml:space="preserve">HWSURVEY</t>
  </si>
  <si>
    <t xml:space="preserve">Survey of security on constrained devices</t>
  </si>
  <si>
    <t xml:space="preserve">2.3</t>
  </si>
  <si>
    <t xml:space="preserve">HWLORA</t>
  </si>
  <si>
    <t xml:space="preserve">Security mechanism implemented or measured on LoRa nodes</t>
  </si>
  <si>
    <t xml:space="preserve">HWBENCH</t>
  </si>
  <si>
    <t xml:space="preserve">Symmetric / lightweight crypto benchmarked on microcontrollers</t>
  </si>
  <si>
    <t xml:space="preserve">HWPKC</t>
  </si>
  <si>
    <t xml:space="preserve">Public-key, key exchange or post-quantum cost on microcontrollers</t>
  </si>
  <si>
    <t xml:space="preserve">ID</t>
  </si>
  <si>
    <t xml:space="preserve">Found by</t>
  </si>
  <si>
    <t xml:space="preserve">Title</t>
  </si>
  <si>
    <t xml:space="preserve">Year</t>
  </si>
  <si>
    <t xml:space="preserve">Type</t>
  </si>
  <si>
    <t xml:space="preserve">Authors</t>
  </si>
  <si>
    <t xml:space="preserve">Source</t>
  </si>
  <si>
    <t xml:space="preserve">DOI</t>
  </si>
  <si>
    <t xml:space="preserve">AI suggestion</t>
  </si>
  <si>
    <t xml:space="preserve">Reason code</t>
  </si>
  <si>
    <t xml:space="preserve">Priority</t>
  </si>
  <si>
    <t xml:space="preserve">Your decision (optional)</t>
  </si>
  <si>
    <t xml:space="preserve">Final decision</t>
  </si>
  <si>
    <t xml:space="preserve">Abstract</t>
  </si>
  <si>
    <t xml:space="preserve">R001</t>
  </si>
  <si>
    <t xml:space="preserve">2017 13th Annual Conference on Wireless On-Demand Network Systems and Services, WONS 2017 - Proceedings</t>
  </si>
  <si>
    <t xml:space="preserve">Conference review</t>
  </si>
  <si>
    <t xml:space="preserve">Exclude</t>
  </si>
  <si>
    <t xml:space="preserve">The proceedings contain 27 papers. The topics discussed include: a dynamic and autonomous channel selection strategy for interference avoidance in 802.11; on the feasibility of collision detection in full-duplex 802.11 radio; TraceMixer: privacy-preserving crowd-sensing sans trusted third party; on the sensitivity of geo-based content sharing to location errors; the more you speak, the less you hear: on dynamic announcement intervals in wireless on-demand networks; promotion of cooperation in public goods game by socialized speed-restricted movement; offloading on the edge: performance and cost analysis of local data storage and offloading in HetNets; active energy management for harvesting enabled wireless sensor network; energy-efficient analog sensing for large scale, high-density persistent wireless monitoring; on the application of LoRa LPWAN technology in sailing monitoring system; an alternative congestion control using an enhanced contention based forwarding for vehicular networks; efficient mmwave wireless backhauling for dense small-cell deployments; dynamic RPL for multi-hop routing in IoT applications; and an SMDP approach to optimal PHY configuration in wireless networks.</t>
  </si>
  <si>
    <t xml:space="preserve">R002</t>
  </si>
  <si>
    <t xml:space="preserve">Increased flexibility in long-range IoT deployments with transparent and light-weight 2-hop LoRa approach</t>
  </si>
  <si>
    <t xml:space="preserve">Conference paper</t>
  </si>
  <si>
    <t xml:space="preserve">Diop, M.; Pham, C.</t>
  </si>
  <si>
    <t xml:space="preserve">IFIP Wireless Days</t>
  </si>
  <si>
    <t xml:space="preserve">10.1109/wd.2019.8734228</t>
  </si>
  <si>
    <t xml:space="preserve">Include</t>
  </si>
  <si>
    <t xml:space="preserve">Medium</t>
  </si>
  <si>
    <t xml:space="preserve">LoRa is a recent low-power and long-range sub-GHz radio technology where devices can communicate in 1-hop to a gateway several kilometers away. Long-range radios typically remove the complexity of maintaining a multi-hop network with intermediate nodes for relaying information. Nonetheless, even with the increased range, 1-hop connectivity can be difficult to achieve in real-world deployment scenario, especially for remote and rural areas where density of gateways is low and where devices/gateway are usually deployed for a specific application. This article describes a 2-hop LoRa approach to seamlessly extend a deployed LoRa network in order to reduce both packet losses and transmission cost. We introduce a smart and battery-operated relay-device that can be added after a deployment campaign to transparently provide an extra hop between the remote devices and the gateway. Field tests are conducted to assess network reliability by dynamic insertion of a relay-device between the remote end-devices and the gateway, without advertising its presence. Energy consumption is also discussed. © 2019 IEEE.</t>
  </si>
  <si>
    <t xml:space="preserve">R003</t>
  </si>
  <si>
    <t xml:space="preserve">Distributed network communication using B.A.T.M.A.N. algorithm over LoRa</t>
  </si>
  <si>
    <t xml:space="preserve">Chache, F.M.; Maxon, S.; Narayanan, R.M.; Bharadwaj, R.</t>
  </si>
  <si>
    <t xml:space="preserve">Proceedings of SPIE - The International Society for Optical Engineering</t>
  </si>
  <si>
    <t xml:space="preserve">10.1117/12.2588317</t>
  </si>
  <si>
    <t xml:space="preserve">Internet of Things (IoT) has become a fast growing research topic in recent years. Internet connected sensors and devices allow for the collection and processing of a wealth of data. This in conjunction with sensor fusion can provide greater accuracy in object recognition and detection surpassing what could be obtained by sensors operating independently. However these distributed sensors must often operate in environments with poor to no access to the internet which can greatly reduce their effectiveness. Additionally these sensors can be attached to highly dynamic platforms further complicating communication and data routing. One possible solution is to use the B.A.T.M.A.N. (Better Approach To Mobile Ad hoc Networking) routing protocol adapted for use with LoRa, a low power long range RF protocol, to route sensor data through other nodes in order to reach internet access points and allow these devices to interact with the cloud that would have otherwise been unable. Other adaptations to the algorithm will be investigated, such as including other sensors, like GPS and message signal strength to better predict route quality. This system shows promise to be an effective, fault-tolerant solution for this application. © 2021 SPIE.</t>
  </si>
  <si>
    <t xml:space="preserve">R004</t>
  </si>
  <si>
    <t xml:space="preserve">Hybrid LoRa Mesh Routing with Energy based Clustering in Heterogeneous IoT Environment</t>
  </si>
  <si>
    <t xml:space="preserve">Su, A.; Abbas, F.H.; Kurdi, W.H.M.; Farhoud, H.A.; Khazaal, W.M.; Al Attabi, K.</t>
  </si>
  <si>
    <t xml:space="preserve">2025 International Conference on Next Generation Computing Systems: Intelligent System for Sustainable Development, ICNGCS 2025 - Conference Proceedings</t>
  </si>
  <si>
    <t xml:space="preserve">10.1109/icngcs64900.2025.11183332</t>
  </si>
  <si>
    <t xml:space="preserve">Low</t>
  </si>
  <si>
    <t xml:space="preserve">In recent times one of the trending technologies that are used for data collection is Internal of Things (IoT), which is applied in numerous applications of the smart devices. Due to the massive volume of data that this technology controls, smart device data- collecting procedure is quite complex, which increases delay and power consumption throughout the data- gathering process. Mainly to improve the efficiency of the smart devices and to provide effective data transmission through routing, in this article a Hybrid LoRa Mesh Routing with energy-based clustering (HLRECH) is developed. The core modules of the proposed model are the Hybrid LoRa Mesh Routing and Energy Consumption Model and the Energy-based Clustering Model. The implementation of this concept is carried out, and the software NS3 and the parameters that are involved in the analysis of the network model are routing overhead, end-to-end delay, vehicle lifetime, cluster efficiency, and the data delivery ratio. Based on the examination of the results, it is evident that HLRECH outperforms the other approaches in terms of efficiency and cluster longevity. © 2025 IEEE.</t>
  </si>
  <si>
    <t xml:space="preserve">R005</t>
  </si>
  <si>
    <t xml:space="preserve">R-AODV: Reverse Ad-Hoc On-Demand Distance Vector Routing Algorithm With LoRa Mesh Based for Emergency Alert System</t>
  </si>
  <si>
    <t xml:space="preserve">Thaenthong, J.; Pimsen, T.; Chidchuea, K.</t>
  </si>
  <si>
    <t xml:space="preserve">2023 15th International Conference on Information Technology and Electrical Engineering, ICITEE 2023</t>
  </si>
  <si>
    <t xml:space="preserve">10.1109/icitee59582.2023.10317648</t>
  </si>
  <si>
    <t xml:space="preserve">This research introduces a LoRa mesh network for emergency notification systems, which addresses the challenges of the conventional point-to-point LoRa system, such as limited transmission range and lack of backup paths. The mesh network comprises nodes that serve as relays, facilitating multi-hop data transmission to the gateway. The network also adapts to node failures and route changes by employing the Reverse Ad-hoc On-demand Distance Vector (R-AODV) routing algorithm. The performance of the proposed system was assessed through three types of tests: point-to-point, multi-hop, and node failure. The results indicate that the LoRa mesh network improves network coverage and reliability for emergency communication. The average delay for sending alert messages from the gateway neighbor node to the gateway is 0.82s, from the alarm node to the gateway is 1.54s in normal conditions, and 11.65s in case of a gateway neighbor node failure. The user satisfaction score is 4.31 out of 5.  © 2023 IEEE.</t>
  </si>
  <si>
    <t xml:space="preserve">R006</t>
  </si>
  <si>
    <t xml:space="preserve">A Multi-Hop Routing Solution for Low Latency and Energy Efficiency in Large-Scale LoRa IoT</t>
  </si>
  <si>
    <t xml:space="preserve">Journal article</t>
  </si>
  <si>
    <t xml:space="preserve">Misbahuddin, M.; Iqbal, M.S.; Akbar, L.A.S.I.</t>
  </si>
  <si>
    <t xml:space="preserve">International Journal of Computers, Communications and Control</t>
  </si>
  <si>
    <t xml:space="preserve">10.15837/ijccc.2025.3.6501</t>
  </si>
  <si>
    <t xml:space="preserve">This paper presents a novel multi-hop routing approach for large-scale LoRa IoT networks that aims to solve the challenges of low latency and energy efficiency. The proposed protocol seeks to minimize energy usage and enable wirelessly data transfer by utilizing the unique features of LoRa communication technology. To ensure reliable communication in a multi-hop context, the protocol includes a dynamic routing mechanism that optimizes network latency and prevents data packet collisions. Furthermore, scalability is another important consideration since it permits the flexible addition of new nodes. The simulation results show that the proposed approach is effective, which shows improved energy savings, less latency, and strong flexibility. These results offer a promising solution for optimizing the performance of large-scale LoRa IoT deployments. © (2025), (Agora University). All rights reserved.</t>
  </si>
  <si>
    <t xml:space="preserve">R007</t>
  </si>
  <si>
    <t xml:space="preserve">QoS Extension to a B.A.T.M.A.N. based LoRa Mesh Network</t>
  </si>
  <si>
    <t xml:space="preserve">Proceedings - IEEE Military Communications Conference MILCOM</t>
  </si>
  <si>
    <t xml:space="preserve">10.1109/milcom52596.2021.9653022</t>
  </si>
  <si>
    <t xml:space="preserve">To be useful, wireless sensor networks (WSNs) must be relied upon even when dispersed across environments that lack consistent internet access. To this end, we propose a mesh network architecture based on the Better Approach to Mobile Ad-hoc Networking (B.A.T.M.A.N.) algorithm in conjunction with the long range, low power communication protocol, LoRa, to transmit messages. Adaptations including methods of time synchronization, slotted ALOHA transmission and Quality of Service (QoS) considerations with a network-traffic-aware data routing protocol for a multi-source/multi-sink network configuration have been implemented. With this solution, nodes can create an ad-hoc network, sharing internet access and greatly expanding the network coverage without the need for any additional infrastructure. Our QoS-aware routing metrics have been tested in simulation and show performance improvements over traditional B.A.T.M.A.N. destination routing algorithms in these low data rate systems. © 2021 IEEE.</t>
  </si>
  <si>
    <t xml:space="preserve">R008</t>
  </si>
  <si>
    <t xml:space="preserve">Development of a Mathematical Model for Estimating the Energy Efficiency and Throughput of a Decentralized LoRa Network with Account for Dynamically Changing Signal Propagation Conditions</t>
  </si>
  <si>
    <t xml:space="preserve">Tsoy, D.C.; Kazadaev, L.M.; Lipatkin, V.I.; Ryumshin, K.Y.</t>
  </si>
  <si>
    <t xml:space="preserve">2026 Systems of Signals Generating and Processing in the Field of on Board Communications, SOSG 2026 - Conference Proceedings</t>
  </si>
  <si>
    <t xml:space="preserve">10.1109/ieeeconf68869.2026.11460393</t>
  </si>
  <si>
    <t xml:space="preserve">This article addresses the problem of evaluating energy efficiency and data throughput in decentralized LoRa mesh networks under dynamically changing propagation conditions. In contrast to centralized LoRaWAN architectures, where devices communicate exclusively through gateways, the mesh topology considered here enables multi-hop data delivery via intermediate nodes. This is especially relevant in conditions of urban dense development, where direct node-to-gateway links are often disrupted by obstacles or excessive distance. A simulation model of the physical layer (PHY) of LoRa is developed in MATLAB, incorporating an AWGN channel and a frequency-selective Rayleigh TDL channel calibrated according to ITU-R P.1411-10 recommendations. The packet error rate (PER) and bit error rate (BER) are used as the primary quality metrics, while network throughput and end-to-end reliability are evaluated as functions of the number of relay hops. The effect of the LoRa coding rate (CR = 4/5 versus CR = 4/8) on the residual error floor and end-to-end performance is investigated as a means of mitigating irreducible fading losses. ©2026 IEEE.</t>
  </si>
  <si>
    <t xml:space="preserve">R009</t>
  </si>
  <si>
    <t xml:space="preserve">A GNN-Based Learning Approach for Energy Optimization in Relay-Assisted IoT Networks</t>
  </si>
  <si>
    <t xml:space="preserve">Yang, H.; Ji, H.; Huang, Z.; Wu, X.</t>
  </si>
  <si>
    <t xml:space="preserve">IEEE Wireless Communications and Networking Conference, WCNC</t>
  </si>
  <si>
    <t xml:space="preserve">10.1109/wcnc61545.2025.10978775</t>
  </si>
  <si>
    <t xml:space="preserve">Minimizing energy consumption is critical for the long-range (LoRa) Internet of Things (IoT) networks, to extend the battery lifetime of end devices (EDs) while reducing the maintenance cost. To overcome the excessive computational complexity required by the traditional optimization methods, learning approaches such as deep neural network (DNN) and reinforcement learning (RL) have been researched in wireless networks, where star topologies are widely employed. In contrast, LoRa usually deploys relays to assist the connection between the EDs and the gateway (GW), leading to a much more complex network topology. Consequently, DNN and RL would become less effective in LoRa, since those methods are difficult to learn the complex network topology constructed by LoRa. In this paper, we propose a learning method based on graph neural network (GNN), which is known for its prominent ability to capture and represent intricate graph-structural dependencies, to tackle the energy optimization problem for relay-assisted LoRa. Specifically, the multi-hop LoRa network is modeled as a directed graph, with channel state information (CSI) defined as node features, while the spreading factor and transmission power are deemed labels. A hierarchical message aggregation mechanism is proposed to effectively capture the multi-hop structural dependencies, followed by the process of inductive learning. Results show that against conventional optimization algorithms, the proposed method can achieve near-optimal energy consumption with a gap of 10% to 16%, while reducing the runtime by about six orders of magnitude. Compared to DNN, the GNN-based model can provide an energy saving of up to 32%, at a similar level of inference time. © 2025 IEEE.</t>
  </si>
  <si>
    <t xml:space="preserve">R010</t>
  </si>
  <si>
    <t xml:space="preserve">A Comparative Evaluation of LoRa Mesh, Peer-to-Peer and Satellite Communication Systems for Lunar IoT Applications</t>
  </si>
  <si>
    <t xml:space="preserve">Impraim, N.N.; Bayrak, S.</t>
  </si>
  <si>
    <t xml:space="preserve">RAST 2026 - 11th International Conference on Recent Advances in Air and Space Technologies, Conference Program</t>
  </si>
  <si>
    <t xml:space="preserve">10.1109/rast69551.2026.11672553</t>
  </si>
  <si>
    <t xml:space="preserve">This paper presents a performance comparison of three LoRa-based communication systems. Mesh Networks, Point-to-Point (P2P), and satellite gateways for Lunar-IoT networks. In this study, an evaluation framework has been developed that reflects the lunar environment. This includes factors like radiation-induced bit errors, extreme temperature changes (+130°C to -170°C), 14-day day/night cycles, terrain-related path loss from craters and regolith, and vacuum propagation. In testing 25 distributed nodes over a 5 km coverage area, the mesh network achieved a packet delivery rate (PDR) of 97.06%. In contrast, the P2P architecture had a PDR of 23.60%, while the satellite system achieved 74.15%. P2P had the lowest latency at (319 ms), and the least energy use, but single-hop limits resulted in 76% of transmissions failing in low-density lunar deployments. Satellite communication ensured reliable connections but came with much higher latency (2079 ms) and energy usage. Networks using multi-hop routing with a 1.5 km distance between nodes created the best balance of reliability and efficiency for lunar operations. This study provides performance comparisons essential for planning a LoRa-based communication system on the Moon. © 2026 IEEE.</t>
  </si>
  <si>
    <t xml:space="preserve">R011</t>
  </si>
  <si>
    <t xml:space="preserve">Analytic Model of a Mesh Topology based on LoRa Technology</t>
  </si>
  <si>
    <t xml:space="preserve">Kirichek, R.; Vishnevsky, V.; Pham, V.D.; Koucheryavy, A.</t>
  </si>
  <si>
    <t xml:space="preserve">International Conference on Advanced Communication Technology, ICACT</t>
  </si>
  <si>
    <t xml:space="preserve">10.23919/icact48636.2020.9061519</t>
  </si>
  <si>
    <t xml:space="preserve">In the last decade, the Internet of Things (IoT) technologies have brought a lot of applications in different fields. Many communication technologies have been developed in order to connect everything to each other and to the Internet. Besides, the long-range power-efficient wireless technologies have emerged such as LoRa (Long Range), which enables transmission over long distances with low energy consumption and can work within p2p, star or mesh topologies. In this paper, we analyze a model of a mesh topology for the LoRa network, which is attracting more interest in the applications of Smart City and Smart Agriculture. While the mesh topology is described by a graph, a method of route selection is considered based on the link quality related to Received Signal Strength Indication (RSSI) to find the optimal path from a source to a sink node. The network performance is evaluated by considering each node as a queueing system. As the analytic results, the routes are found from device nodes to the gateway, and the delivery latency is analyzed in the dependence on the load intensity and the number of relay nodes. © 2020 Global IT Research Institute - GIRI.</t>
  </si>
  <si>
    <t xml:space="preserve">R012</t>
  </si>
  <si>
    <t xml:space="preserve">Design Considerations and Performance Evaluation of Gossip Routing in LoRa-Based Linear Networks</t>
  </si>
  <si>
    <t xml:space="preserve">Liaqat, R.M.; Branch, P.; But, J.</t>
  </si>
  <si>
    <t xml:space="preserve">Future Internet</t>
  </si>
  <si>
    <t xml:space="preserve">10.3390/fi15110366</t>
  </si>
  <si>
    <t xml:space="preserve">High</t>
  </si>
  <si>
    <t xml:space="preserve">Linear networks (sometimes called chain-type networks) occur frequently in Internet of Things (IoT) applications, where sensors or actuators are deployed along pipelines, roads, railways, mines, and international borders. LoRa, short for Long Range, is an increasingly important technology for the IoT with great potential for linear networking. Despite its potential, limited research has explored LoRa’s implementation in such networks. In this paper, we addressed two important issues related to LoRa linear networks. The first is contention, when multiple nodes attempt to access a shared channel. Although originally designed to deal with interference, LoRa’s technique of synchronisation with a transmission node permits a novel approach to contention, which we explored. The second issue revolves around routing, where linear networks permit simpler strategies, in contrast to the common routing complexities of mesh networks. We present gossip routing as a very lightweight approach to routing. All our evaluations were carried out using real equipment by developing real networks. We constructed networks of up to three hops in length and up to three nodes in width. We carried out experiments looking at contention and routing. We demonstrate using the novel approach that we could achieve up to 98% throughput. We compared its performance considering collocated scenarios that achieved 84% and 89% throughputby using relay widths of two and three at each hop, respectively. Lastly, we demonstrate the effectiveness of gossip routing by using various transmission probabilities. We noticed high performance up to 98% throughputat (Formula presented.) = 0.90 and (Formula presented.) = 0.80 by employing two and three active relay nodes, respectively. The experimental result showed that, at (Formula presented.) = 0.40, it achieved an average performance of 62.8% and 73.77% by using two and three active relay nodes, respectively. We concluded that LoRa is an excellent technology for Internet of Things applications where sensors and actuators are deployed in an approximately linear fashion. © 2023 by the authors.</t>
  </si>
  <si>
    <t xml:space="preserve">R013</t>
  </si>
  <si>
    <t xml:space="preserve">A LoRa relay based system for detonating explosives in underground mines</t>
  </si>
  <si>
    <t xml:space="preserve">Branch, P.; Cricenti, T.</t>
  </si>
  <si>
    <t xml:space="preserve">Proceedings of the IEEE International Conference on Industrial Technology</t>
  </si>
  <si>
    <t xml:space="preserve">10.1109/icit45562.2020.9067213</t>
  </si>
  <si>
    <t xml:space="preserve">In this paper we present our work on the use of LoRa as a network technology for detonation of low explosives in underground mining. Using explosives underground is a potentially hazardous activity that mining companies are keen to make safer by removing personnel from near the site of the detonation. Currently detonation is commonly carried out using lengths of copper cable or infrared transmission, both of which limit the distance between the initiator and the explosives. The wireless technology LoRa, is an attractive alternative. LoRa has a much longer transmission range than infrared transmission and other wireless technologies such as WiFi and ZigBee. We have developed and trialed in a working underground mine a prototype system for carrying out such detonations. The system makes use of LoRa as a multi-hop message passing system from an Initiator to a Detonator via a number of Relays. We describe the messages that are passed through the network. We also describe how we deal with contention, broadcast storms and duplicate messages. Our approach is robust, easy to deploy and gives deterministic delay. We also present measurements of signal strength taken underground. Our results indicate that underground LoRa wireless transmission suffers severe fading without line of sight but where this is a line of sight underground, we show that LoRa propagates considerable distances. © 2020 IEEE.</t>
  </si>
  <si>
    <t xml:space="preserve">R014</t>
  </si>
  <si>
    <t xml:space="preserve">S1, S2</t>
  </si>
  <si>
    <t xml:space="preserve">MSWiM 2021 - Proceedings of the 24th International ACM Conference on Modeling, Analysis and Simulation of Wireless and Mobile Systems</t>
  </si>
  <si>
    <t xml:space="preserve">The proceedings contain 29 papers. The topics discussed include: preventing failures of cooperative maneuvers among connected and automated vehicles; global energy optimization strategy based on delay constraints in edge computing environment; profit maximization for service placement and request assignment in edge computing via deep reinforcement learning; accelerating the simulation of wireless communication protocols using asynchronous parallelism; modeling and simulation of reconfigurable intelligent surfaces for hybrid aerial and ground-based vehicular communications; an energy-efficient smart space system using lora network with deadline and security constraints; a novel harvesting-aware RL-based opportunistic routing protocol for underwater sensor networks; and simple and efficient collision-free channel access in multi-hop wireless networks.</t>
  </si>
  <si>
    <t xml:space="preserve">R015</t>
  </si>
  <si>
    <t xml:space="preserve">Energy-Efficient Multi-Hop LoRa Communication in Forested Environments via Proximal Policy Optimization</t>
  </si>
  <si>
    <t xml:space="preserve">Jumali, M.K.B.; Guan, L.K.; Moung, E.G.; Angeline, L.; Wang, T.; Kin, K.T.T.</t>
  </si>
  <si>
    <t xml:space="preserve">International Journal of Advanced Computer Science and Applications</t>
  </si>
  <si>
    <t xml:space="preserve">10.14569/ijacsa.2026.0170436</t>
  </si>
  <si>
    <t xml:space="preserve">Multi-hop LoRa networks extend coverage for large-scale Internet of Things deployments but are severely limited by interference-induced collisions, retransmissions, and rapid battery depletion of relay nodes. Conventional routing strategies that minimize hop count or rely on static heuristics fail to account for dynamic medium contention and its impact on energy consumption and reliability. This paper proposes a Proximal Policy Optimization (PPO)-based routing framework for multi-hop LoRa networks that learns interference-aware and energy-efficient routing policies through reinforcement learning. A discrete-event simulation framework is developed to model LoRa physical-layer behaviour, co-spreading-factor interference, adaptive data rate control, and battery-limited relay nodes under multi-source traffic. The routing problem is formulated as a Markov Decision Process (MDP) in which the PPO agent selects next-hop relays based on local topology, relay load, and channel occupancy, while physical-layer parameters are adapted independently using a standards-inspired physical-layer parameters are adapted independently using a standards-inspired ADR mechanism (ADR) mechanism. Simulation results show that the proposed approach achieves a packet delivery ratio of up to 73.7%, reduces collision rates by approximately 46% compared with Random routing, and lowers the average energy consumption per delivered packet to about 206 mJ, outperforming Shortest Path and Ad hoc On-Demand Distance Vector (AODV)-like routing. These gains are achieved by learning spatially diverse routing paths that mitigate relay congestion and reduce collision-induced retransmissions. © 2026, The Author(s).</t>
  </si>
  <si>
    <t xml:space="preserve">R016</t>
  </si>
  <si>
    <t xml:space="preserve">Simulated Disaster Warning System for Remote Areas using Multi-Hop LEACH over LoRa Mesh Network</t>
  </si>
  <si>
    <t xml:space="preserve">Pradeep Kumar, G.; Afeef Ahmed Kamal, A.; Bala Ramanan, B.; Imthiyaz Ahamed, A.; Siddharth, M.</t>
  </si>
  <si>
    <t xml:space="preserve">4th International Conference on Integrated Circuits and Communication Systems, ICICACS 2026</t>
  </si>
  <si>
    <t xml:space="preserve">10.1109/icicacs68679.2026.11578885</t>
  </si>
  <si>
    <t xml:space="preserve">This research addresses the critical failure of conventional communication infrastructures during climatic disasters, particularly in geographically isolated regions where "last mile"connectivity is often the first to fail. Conventional systems like GSM and standard LoRaWAN suffer from single points of failure and congestion. To overcome these limitations, we propose a robust, autonomously survivable architecture synthesizing Multi-Hop Low energy Adaptive Clustering Hierarchy (LEACH) protocols with the Long Range (LoRa) physical layer. The proposed method introduces a decentralized mesh topology controlled by a novel "Node Rank"(NR) algorithmic fitness function, which deterministically assigns Cluster Heads based on residual energy, proximity to the sink, and connectivity degree. Extensive stochastic modeling and discrete-event simulations in Network Simulator 2 (NS2) demonstrate that this approach achieves a 96% Packet Delivery Ratio (PDR), reduces end-to-end latency to 1.9s, and extends network lifetime by 80% compared to AODV and single-hop paradigms. These results confirm the system's viability as a resilient backbone for next-generation disaster informatics, ensuring reliable early warnings even when traditional networks collapse. © 2026 IEEE.</t>
  </si>
  <si>
    <t xml:space="preserve">R017</t>
  </si>
  <si>
    <t xml:space="preserve">Cross-network cross-interface relaying via LoRa-ZigBee synergy: Enabling energy-efficient delay-constrained communication across low-power IoT networks</t>
  </si>
  <si>
    <t xml:space="preserve">Qin, H.; Li, N.; Yang, G.; Peng, Y.</t>
  </si>
  <si>
    <t xml:space="preserve">Internet of Things (The Netherlands)</t>
  </si>
  <si>
    <t xml:space="preserve">10.1016/j.iot.2026.101878</t>
  </si>
  <si>
    <t xml:space="preserve">The rapid expansion of the Internet of Things (IoT) ecosystem has propelled widespread deployment of distributed low-power wireless networks, among which ZigBee stands out for diverse innovative applications. However, energy-efficient cross-network communication remains challenging, as existing solutions like multi-hop ZigBee and one-hop LoRa entail trade-offs between communication delays and deployment costs. To tackle these issues, we propose a novel cross-interface relaying paradigm that utilizes a star topology within each ZigBee network and designates a relay node with an additional LoRa interface to bridge networks via a central LoRa gateway. Compared with existing methods, this approach reduces energy consumption and costs while improving scalability. To implement this paradigm while balancing energy conservation with delay guarantees, we introduce a Cross-network Cross-interface Relaying (CCR) scheme, which jointly schedules LoRa and ZigBee transmission behaviors to minimize energy consumption under delay constraints. CCR uses a scheduling framework that breaks down end-to-end delay constraints into link-level constraints, enabling global optimization of transmission parameters and dynamic adaptation to link quality variations. The effectiveness of CCR is demonstrated through extensive field tests on a prototype implemented on Raspberry Pi 3B+. Results show that CCR reduces energy consumption by 55.4% and 39.1% compared with an advanced LoRa communication protocol and a state-of-the-art cross-interface relaying scheme, respectively, while ensuring that 98.7% of packets satisfy their delay constraints. These findings highlight the potential of CCR for efficient and reliable cross-network communication in large-scale IoT deployments. © 2026 Elsevier B.V.</t>
  </si>
  <si>
    <t xml:space="preserve">R018</t>
  </si>
  <si>
    <t xml:space="preserve">Large and reliable data transfer service for LoRa mesh network applications</t>
  </si>
  <si>
    <t xml:space="preserve">Miquel Solé, J.; Pueyo Centelles, R.; Freitag, F.; Meseguer, R.; Baig Viñas, R.</t>
  </si>
  <si>
    <t xml:space="preserve">Computer Communications</t>
  </si>
  <si>
    <t xml:space="preserve">10.1016/j.comcom.2025.108404</t>
  </si>
  <si>
    <t xml:space="preserve">Recently, LoRa mesh networks have appeared as a communication technology for Internet of Things (IoT) devices. Through node-to-node communication, novel distributed IoT applications that extend beyond the capabilities of the LoRaWAN architecture can be enabled. However, current technologies for LoRa networks do not provide mechanisms for large and reliable data transfers between IoT nodes. This paper presents a service for such data transfers in LoRa mesh network applications, along with the protocol and formats used for inter-node communication. We explain the design choices and detail the implementation decisions to ensure that this service is practically usable. To this end, the service was integrated into the LoRaMesher library and is available as an open-source operational implementation. In experiments with ten real nodes and two network topologies, we observe that the service effectively achieves a large and reliable message delivery in an environment of concurrent transmissions and packet losses. In contrast, the cost of reliability for large data transfers is an increased number of messages and a higher delivery time. With the integration of the service into the LoRaMesher technology, developers now have a library that provides a reliable and large payload service for LoRa mesh network applications, eliminating the need to develop such capacity as a specific application-level solution. © 2025</t>
  </si>
  <si>
    <t xml:space="preserve">R019</t>
  </si>
  <si>
    <t xml:space="preserve">Experimental LoRa Network Power Consumption Model Using Multi-Hops</t>
  </si>
  <si>
    <t xml:space="preserve">Alexander, U.; Bolshakov, I.; Voskov, L.; Rolich, A.</t>
  </si>
  <si>
    <t xml:space="preserve">Moscow Workshop on Electronic and Networking Technologies, MWENT 2022 - Proceedings</t>
  </si>
  <si>
    <t xml:space="preserve">10.1109/mwent55238.2022.9802378</t>
  </si>
  <si>
    <t xml:space="preserve">The article describes the study of data transmission methods in heterogeneous networks using LoRa relay and NB-IoT gateway for use in an underdeveloped or absent Internet network infrastructure. The analysis of the subject area is carried out, a multistage architecture of a heterogeneous network of the Internet of Things is proposed, using repeaters and a gateway to collect remote data. A method and a calculation model of energy consumption for the transmission of collected data using repeaters is proposed, which makes it possible to increase the energy efficiency of data transmission from end devices using autonomous powersources. A prototype of a data acquisition system withretransmission has been developed, which confirms the theoretical calculations. The practical value lies in increasing thebattery life and expanding the network coverage area. © 2022 IEEE.</t>
  </si>
  <si>
    <t xml:space="preserve">R020</t>
  </si>
  <si>
    <t xml:space="preserve">Reducing Routing Overhead with a Clustering Protocol Based on Ad hoc Distance Vector and Dynamic Source Routing Protocols</t>
  </si>
  <si>
    <t xml:space="preserve">Kebeng, T.O.; Sheikh, S.M.; Kgwadi, M.</t>
  </si>
  <si>
    <t xml:space="preserve">5th International Conference on Artificial Intelligence, Big Data, Computing and Data Communication Systems, icABCD 2022 - Proceedings</t>
  </si>
  <si>
    <t xml:space="preserve">10.1109/icabcd54961.2022.9856116</t>
  </si>
  <si>
    <t xml:space="preserve">Some wireless network applications only need to send data infrequently and at low bit rates. To save costs, these networks use modest devices with limited resources (bandwidth, power) or legacy technology. Technologies such as Bluetooth Low Energy, Lora Wide Area Networks (LoRAWAN), Zigbee, legacy WIFI among others, are suited for such applications. Since bandwidth is a limited resource for such networks, route discovery needs to use as little as possible, leaving most of the bandwidth available for data transfer. In this paper, the routing protocol for use in wireless, multihop ad-hoc networks, the Ad-Hoc Distance Vector (AODV) routing protocol is compared to a novel routing protocol called Cluster Based AODV (CLUBAA). The comparison is made using simulations, and the results show CLUBAA to have better bandwidth utilization due to its low Normalized Routing Overhead (NRO) for infrequent route discovery requests. The results further expand on the region of the curve where CLUBAA outperformed AODV, showing that there is a niche area where CLUBAA could be a good bandwidth saving alternative to AODV. © 2022 IEEE.</t>
  </si>
  <si>
    <t xml:space="preserve">R021</t>
  </si>
  <si>
    <t xml:space="preserve">23rd International Conference on Distributed Computer and Communication Networks, DCCN 2020</t>
  </si>
  <si>
    <t xml:space="preserve">Lecture Notes in Computer Science (including subseries Lecture Notes in Artificial Intelligence and Lecture Notes in Bioinformatics)</t>
  </si>
  <si>
    <t xml:space="preserve">The proceedings contain 55 papers. The special focus in this conference is on Distributed Computer and Communication Networks. The topics include: Architectural ML Framework for IoT Services Delivery Based on Microservices; applying Machine Learning to Data from a Structured Database in a Research Institute to Support Decision Making; generation of Metadata for Network Control; IoT Traffic Prediction with Neural Networks Learning Based on SDN Infrastructure; Transmission Latency Analysis in Cloud-RAN; Resource Queuing System with Preemptive Priority for Performance Analysis of 5G NR Systems; redundant Servicing of a Flow of Heterogeneous Requests Critical to the Total Waiting Time During the Multi-path Passage of a Sequence of Info-Communication Nodes; preface; Power Domain NOMA Without SIC in Downlink CSS-Based LoRa Networks; agriculture Management Based on LoRa Edge Computing System; dynamic Algorithm for Building Future Networks Based on Intelligent Core Network; Methods and Models for Using Heterogeneous Gateways in the Mesh LPWANs; Research on Using the AODV Protocol for a LoRa Mesh Network; on the Algebraic Theory of Loop Free Routing; queueing System with Two Unreliable Servers and Backup Server as a Model of Hybrid Communication System; flexible Random Early Detection Algorithm for Queue Management in Routers; architecture and Functionality of the Collective Operations Subnet of the Angara Interconnect; The Model of WBAN Data Acquisition Network Based on UFP; Development and Investigation of Model Network IMT2020 with the Use of MEC and Voice Assistant Technologies; Simulation-Based Analysis of Mobility Models for Wireless UAV-to-X Networks; queues with Markovian Arrivals, Phase Type Services, Breakdowns, and Repairs.</t>
  </si>
  <si>
    <t xml:space="preserve">R022</t>
  </si>
  <si>
    <t xml:space="preserve">IEEE Region 10 Annual International Conference, Proceedings/TENCON</t>
  </si>
  <si>
    <t xml:space="preserve">The proceedings contain 489 papers. The topics discussed include: design of IoT monitoring system based on LoRa technology for starfruit plantation; automatic optic disc localization using particle swarm optimization technique; performance evaluation of Gbps X-band satellite downlink with transmitter imperfections; describing methods for high-level synthesis of histogram generation and their evaluation; a novel fault-tolerant routing technique for mesh-of-tree based network-on-chip design; gyroscopic stabilizer for 3D mapping device on unmanned ground vehicle; feeder wise net metering service planning using load power demand profile and raw customer billing data; non-uniform quantization based reporting in cooperative cognitive radio; pixel-level crack detection using U-Net; and interference limit based resource allocation for low density signature OFDM in underlay cognitive radio networks.</t>
  </si>
  <si>
    <t xml:space="preserve">R023</t>
  </si>
  <si>
    <t xml:space="preserve">The MauMe network - A LoRa multi-hop collaborative protocol and low-cost implementation example</t>
  </si>
  <si>
    <t xml:space="preserve">Mari, J.-M.; Gabillon, A.</t>
  </si>
  <si>
    <t xml:space="preserve">Computer Standards and Interfaces</t>
  </si>
  <si>
    <t xml:space="preserve">10.1016/j.csi.2023.103733</t>
  </si>
  <si>
    <t xml:space="preserve">Low-cost low-power long-distance LoRa radio devices recently made available on the market allow the emerging of a new generation of networking paradigms on the Internet of Things. While the LoRaWan offers an efficient way of connecting LoRa end-point devices to the internet, LoRaWan nodes do not act as peers, but rather as terminals connected to gateways. As such, the current state of the art does not offer a public protocol for easily taking advantage of the fact that individuals and professionals wishing to aggregate data using LoRa devices are likely to run each a “base-node” on a continuous basis. Such permanently-powered base-nodes could potentially offer an increased cumulated area coverage to other nodes if they would behave as relays. In the present study, an Epidemic Delay Tolerant Network messaging protocol is proposed, which allows multi-hops between peer LoRa relay-nodes through a raw-LoRa controlled-flooding approach. This protocol has been implemented on low-cost LoRa-chip-equipped microcontrollers in the form of an open-source library acting as a network transport-layer. The design analysis concluded that MauMe is better suited for networks with reduced connectivity (≤ 9), and that a 4-connectivity redundant network could allow each user to send several tens of messages several tens of hops away. The proposed approach was tested on three different LoRa network topologies, and the totality of the packets and acknowledgments reached their destination. Furthermore, the network's activity ceased after delivery, confirming the ability of the protocol to return the network to rest after the flooding. The proposed library also offers to users a free emergency-messaging system implemented as an http server embedded in each node and accessible via Wi-fi. End-users can readily use our solution to easily deploy a network of sensors at a much lower cost than when using multiple gateways. The MauMe protocol is a first step towards the creation of collaborative and application-friendly extended-range LoRa-peers networks, and is intended for use in remote regions with scattered housings such as in the islands and atolls of Polynesia. © 2023 Elsevier B.V.</t>
  </si>
  <si>
    <t xml:space="preserve">R024</t>
  </si>
  <si>
    <t xml:space="preserve">Research on Using the AODV Protocol for a LoRa Mesh Network</t>
  </si>
  <si>
    <t xml:space="preserve">Pham, V.D.; Le, D.T.; Kirichek, R.; Shestakov, A.</t>
  </si>
  <si>
    <t xml:space="preserve">10.1007/978-3-030-66471-8_13</t>
  </si>
  <si>
    <t xml:space="preserve">In this paper, we consider the LoRa technology to expand sensor network coverage in smart sustainable cities. A model of a LoRa mesh network is proposed using the AODV protocol in packet routing. With a simulation model developed based on OMNET++, a series of computer experiments was carried out with changing various parameters. In the experiments results, the end-to-end delay and packet loss ratio were analyzed in the dependence on the number of nodes and packet size in the network. The simulation results show that the latency is relatively high in the LoRa mesh network, but it might be accepted for some applications. © 2020, Springer Nature Switzerland AG.</t>
  </si>
  <si>
    <t xml:space="preserve">R025</t>
  </si>
  <si>
    <t xml:space="preserve">Simple Protocol Design of Multi-Hop Network in Lora</t>
  </si>
  <si>
    <t xml:space="preserve">Azhari, R.Y.; Firmansyah, E.; Bejo, A.</t>
  </si>
  <si>
    <t xml:space="preserve">2019 2nd International Seminar on Research of Information Technology and Intelligent Systems, ISRITI 2019</t>
  </si>
  <si>
    <t xml:space="preserve">10.1109/isriti48646.2019.9034662</t>
  </si>
  <si>
    <t xml:space="preserve">Long Range (LORA) is a device capable of communicating remotely with LPWAN topologies. LPWAN cannot do multi-hop so this research needed to be done. There are several multi-hop supporting algorithms such as Media Access Control (MAC) and routing table. This paper discusses a simple routing table algorithm and messages delivered with the requirement that the next node is bigger or smaller than what is sent. Node tables and proposed method in single multi-hop produced 99% PDR. © 2019 IEEE.</t>
  </si>
  <si>
    <t xml:space="preserve">R026</t>
  </si>
  <si>
    <t xml:space="preserve">Exploring open source and proprietary LoRa mesh technologies</t>
  </si>
  <si>
    <t xml:space="preserve">Hammouti, M.; Moussaoui, O.; Hassine, M.; Betari, A.</t>
  </si>
  <si>
    <t xml:space="preserve">Indonesian Journal of Electrical Engineering and Computer Science</t>
  </si>
  <si>
    <t xml:space="preserve">10.11591/ijeecs.v34.i2.pp960-969</t>
  </si>
  <si>
    <t xml:space="preserve">This paper explores low power wide area network (LPWAN) LoRa and its diverse variants, encompassing open-source and proprietary wireless mesh networks, operating over the physical LoRa or LoRaWAN layer. The primary challenge lies in defining an optimal LoRa mesh solution that balances cost-effectiveness, energy efficiency, low latency, long-range capability, and security. This study also comprehensively examines key LoRa mesh solutions from 2017 to 2024, as proposed by various authors. Furthermore, a detailed analysis is conducted to contrast open-source and commercial solutions, considering their applications, limitations, issues, characteristics, and pros and cons of mesh routing protocols. In the current landscape, the proliferation of open-source and proprietary LoRa mesh solutions has been instrumental in facilitating the connectivity of internet of things (IoT) devices. However, these solutions pose challenges related to energy consumption, latency, and suboptimal transmission throughput. These challenges are influenced by various LoRa characteristics such as spectrum factor, bandwidth, and transmission power, which directly impact the transmission range. Our research aims to perform a comparative analysis of existing LoRa mesh solutions by, systematically studying their advantages and disadvantages. This analysis offers valuable insights for making informed choices among these solutions in diverse domains for IoT applications. © 2024 Institute of Advanced Engineering and Science. All rights reserved.</t>
  </si>
  <si>
    <t xml:space="preserve">R027</t>
  </si>
  <si>
    <t xml:space="preserve">Multi-Protocol Wireless Mesh Sensor Network</t>
  </si>
  <si>
    <t xml:space="preserve">Wei, W.J.; Sheng Jovian, L.H.; Choon How, B.L.; Richie, W.R.; Yuan, P.X.; Abhishek, N.V.; Bin Abbas, M.F.</t>
  </si>
  <si>
    <t xml:space="preserve">2024 IEEE VTS Asia Pacific Wireless Communications Symposium, APWCS 2024</t>
  </si>
  <si>
    <t xml:space="preserve">10.1109/apwcs61586.2024.10679304</t>
  </si>
  <si>
    <t xml:space="preserve">Wireless Sensor Networks (WSNs) are pivotal for real-time environmental monitoring applications. This paper delves into the detailed architecture and performance analysis of two prominent protocols, ESP-NOW and LoRa, within the context of a WSN setup. The ESP-NOW protocol, utilizing a Dynamic Source Routing (DSR) mesh algorithm, excels in throughput, latency, and bandwidth compared to LoRa, making it suitable for high-speed, low-latency communication needs. Conversely, LoRa demonstrates advantages in long-range communication and obstacle penetration. Additionally, the analysis delves into power consumption, where ESP-NOW outshines LoRa in both idle and active network states. This results demonstrated that the energy efficiency of ESP-NOW is particularly advantageous for battery-operated devices and remote deployments. The findings presented also provided valuable insights for optimizing protocol selection and power management strategies in WSN deployments, ensuring efficient and reliable data transmission in diverse environmental monitoring scenarios. © 2024 IEEE.</t>
  </si>
  <si>
    <t xml:space="preserve">R028</t>
  </si>
  <si>
    <t xml:space="preserve">LDPC Over Multihop LoRa Nodes with Peeling Decoder</t>
  </si>
  <si>
    <t xml:space="preserve">Arifianto, M.S.</t>
  </si>
  <si>
    <t xml:space="preserve">Proceeding of 2023 9th International Conference on Wireless and Telematics, ICWT 2023</t>
  </si>
  <si>
    <t xml:space="preserve">10.1109/icwt58823.2023.10335410</t>
  </si>
  <si>
    <t xml:space="preserve">Wireless radio communication is expected to reach long distances and be of good quality. To achieve long-distance radio communication, relay stations can be added between the source to the destination points as needed. The utilization of wireless radio introduces vulnerabilities to the quality of communication due to noise and interference. In this research a multihop communications is created using four stationary LoRa nodes. Error correction and detection were added to the multihop communication. The Low-Density Parity Check (LDPC) regular binary 16x32 technique is used in this research for multihop communication at encoder node 1 and decoder node 4. Meanwhile, node 2 and node 3 serve as repeaters between node 1 and node 4. The type of LDPC used is binary encoder, and the decoder uses the peeling technique. Each node's implementation involves the use of hardware modules BeagleBone Black Industrial and LoRa Ebyte. The software utilized includes the debian console and Python programming. This multihop communication has undergone testing for parameters such as processing time, RSSI field test, and peeling error detection and correction ability.  © 2023 IEEE.</t>
  </si>
  <si>
    <t xml:space="preserve">R029</t>
  </si>
  <si>
    <t xml:space="preserve">Cost Effective Routing in Large-scale Multi-hop LoRa Networks</t>
  </si>
  <si>
    <t xml:space="preserve">Feng, S.; Chen, J.; Zhao, Z.</t>
  </si>
  <si>
    <t xml:space="preserve">INFOCOM WKSHPS 2022 - IEEE Conference on Computer Communications Workshops</t>
  </si>
  <si>
    <t xml:space="preserve">10.1109/infocomwkshps54753.2022.9798302</t>
  </si>
  <si>
    <t xml:space="preserve">Low-Power Wide-Area Network (LPWAN) technologies promoted the communication capacities of Internet of Things (IoT) to several or even dozens of kilometers. LoRa is one of these technologies characterized with longrange, low data rates and low power consumption. The LoRaWAN architecture is applied to a star-of-stars topology. However, in several non-line-of-sight or larger scale deployment scenarios, such as underground deployment and large-scale military launch, the single-hop topology may not meet the requirements. Adding gateways to increase coverage may increase deployment complexity and reduce information sharing. Furthermore, the exhaustion of a single node in the network will bring extra cost of replacing the battery, further reducing the network lifetime. Consequently, this paper introduces a multi-hop protocol MLoRa to solve these problems. MLoRa gives a routing strategy upon network layer, which not only brings cost-effective coverage but also lower and balanced energy consumption for the same coverage in LoRa networks. © 2022 IEEE.</t>
  </si>
  <si>
    <t xml:space="preserve">R030</t>
  </si>
  <si>
    <t xml:space="preserve">17th International Conference on Ad Hoc Networks and Wireless, ADHOC-NOW 2018</t>
  </si>
  <si>
    <t xml:space="preserve">The proceedings contain 29 papers. The special focus in this conference is on Ad Hoc Networks and Wireless. The topics include: Demo: Do not trust your neighbors! a small iot platform illustrating a man-in-the-middle attack; a fuzzy based energy aware unequal clustering for wireless sensor networks; The trade-offs of cell over-provisioning in IEEE 802.15.4 TSCH networks; wireless network for in-car communication; Enhanced dynamic duty cycle in LoRaWAN network; Specificities of the LoRa™ physical layer for the development of new ad hoc MAC layers; A comparative evaluation of the performance of the multi-hop IoB-DTN routing protocol; Performance of selection combining macro diversity with outage probability constraint in LPWAN; Authenticated preambles for denial of service mitigation in LPWANs; Multi-path selection in RPL based on replication and elimination; communication architecture for unmanned aerial vehicle system; DACAR: Distributed &amp; adaptable crosslayer anticollision and routing protocol for RFID; low frequency mobile communications in underwater networks; FPMIPV6-S: An enhanced mobility protocol for 6LoWPAN-based wireless mobile sensor networks; collaborative state estimation and actuator scheduling for cyber-physical systems under random multiple events; game-based data muling as a service in infrastructureless area; distributed computations in wireless sensor networks by local interactions; SPHERE deployment manager: A tool for deploying IoT sensor networks at large scale; constructing customized multi-hop topologies in dense wireless network testbeds; f-Interop platform and tools: Validating IoT implementations faster; performance evaluation of a rpl hybrid objective function for the smart grid network; latency and lifetime optimization for k-anycast routing algorithm in wireless sensor networks.</t>
  </si>
  <si>
    <t xml:space="preserve">R031</t>
  </si>
  <si>
    <t xml:space="preserve">Secure Energy Constrained LoRa Mesh Network</t>
  </si>
  <si>
    <t xml:space="preserve">Heeger, D.; Garigan, M.; Tsiropoulou, E.E.; Plusquellic, J.</t>
  </si>
  <si>
    <t xml:space="preserve">10.1007/978-3-030-61746-2_17</t>
  </si>
  <si>
    <t xml:space="preserve">LoRa (Long Range) is a low-power wide-area network technology well-suited for Internet of Things (IoT) applications. In this paper, LoRa is used in a cattle monitoring application where an ad-hoc mesh network is configured to collect GPS and accelerometer data from cattle-worn sensors and relay the collected data to a base station. Free-range cattle monitoring is a challenging application since the battery-powered sensors must be small and energy efficient, and enable data communications over long distances from unpredictable locations. We propose novel changes to the existing LoRa mesh network protocols that minimize energy consumption by using global time synchronization enabled by GPS sensors and a concurrent transmission property unique to LoRa. The mesh routing phase efficiently occurs during every data collection period, making this approach ideal for networking highly mobile sensors. We integrate efficient authentication and encryption techniques in the data exchange operations to prevent spoofing and to provide confidentiality in the message exchanges between the sensors and the base station. The performance of the proposed secure implementation is compared to an equivalent insecure implementation. Multiple cattle distribution scenarios are constructed and compared to evaluate the energy consumption of the proposed scheme. © 2020, Springer Nature Switzerland AG.</t>
  </si>
  <si>
    <t xml:space="preserve">R032</t>
  </si>
  <si>
    <t xml:space="preserve">Hybrid LoRa-Visible-Light Mesh for Ultra-Low-Latency Rural IoT Backhaul</t>
  </si>
  <si>
    <t xml:space="preserve">Basha, S.M.; Agoramoorthy, M.; Sathiyamoorthy, M.; Prabu, M.; Jeyakumar, D.J.</t>
  </si>
  <si>
    <t xml:space="preserve">2026 8th International Conference on Inventive Material Science and Applications, ICIMA 2026</t>
  </si>
  <si>
    <t xml:space="preserve">10.1109/icima68728.2026.11564606</t>
  </si>
  <si>
    <t xml:space="preserve">The need to offer reliable low-cost backhaul connectivity in rural areas is a decisive issue to large scale Internet of Things (IoT) implementations, where standard wireless network solutions are characterized by high latency, subpar coverage, and limited scalability. This is a work that proposes a Hybrid LoRa-Visible-Light Communication (VLC) Mesh architecture that intends on providing IoT backhaul with ultra-low-latency and low-energy usage and low-cost backhaul in underserved regions. The aim of the suggested design is to integrate long-range, low-power robustness of LoRa with high-speed, short-range of VLC in a mesh topology, hence providing strong coverage and high throughput data transmission. The originality of the given approach is that it combines LoRa and VLC technologies seamlessly into a cooperative mesh structure, which allows multi-hop adaptive routing with the minimal transmission delays and maximized energy use. According to experimental assessments and simulations, the backhaul solutions with multiple technologies show a significant reduction in latency, throughput performance, and energy efficiency over the traditional single-technology solutions. This hybrid system presents a sustainable and scalable way of achieving the realization of smart villages, accuracy agriculture, and disaster-resilient IoT systems in rural areas.  © 2026 IEEE.</t>
  </si>
  <si>
    <t xml:space="preserve">R033</t>
  </si>
  <si>
    <t xml:space="preserve">Research and Development of Lora-Modulated Signal Retransmission System</t>
  </si>
  <si>
    <t xml:space="preserve">Tsoi, A.E.; Sattarova, A.I.; Vasiliev, V.Y.; Kazadaev, L.M.</t>
  </si>
  <si>
    <t xml:space="preserve">2025 Systems of Signal Synchronization, Generating and Processing in Telecommunications, SYNCHROINFO 2025 - Conference Proceedings</t>
  </si>
  <si>
    <t xml:space="preserve">10.1109/synchroinfo65403.2025.11079364</t>
  </si>
  <si>
    <t xml:space="preserve">This article focuses on an issue within the LPWAN wireless technology based on LoRa, which often faces challenges in maintaining stable data transmission due to unstable communication conditions between nodes and gateways, and a simulation of node connections and the influence of noise levels to connection stability is presented. In traditional LoRaWAN networks, where devices connect directly to gateways, signal quality deteriorates as distance increases or interference occurs. This leads to data loss and reduced communication reliability. One way to solve this problem is by transitioning to mesh networks, where devices can transmit data not only directly, but also through neighboring nodes. This approach allows for flexible adaptation to network changes and restoration of interrupted connections. However, the correct operation of this technology largely depends on the chosen routing algorithm and whether real-world signal transmission conditions are taken into account.  © 2025 IEEE.</t>
  </si>
  <si>
    <t xml:space="preserve">R034</t>
  </si>
  <si>
    <t xml:space="preserve">Make or Break? How LoRaWAN Duty Cycle Impacts Performance in Multihop Networks</t>
  </si>
  <si>
    <t xml:space="preserve">Cotrim, J.R.; Margi, C.B.</t>
  </si>
  <si>
    <t xml:space="preserve">IEEE Access</t>
  </si>
  <si>
    <t xml:space="preserve">10.1109/access.2024.3494038</t>
  </si>
  <si>
    <t xml:space="preserve">LoRaWAN is a widely adopted protocol for Internet of Things applications with energy constraints and large coverage area demands. The protocol standardization defines a star-of-stars topology, where end-devices send their packets directly to a gateway that forwards the messages to the network server, where they are handled depending on the application. LoRaWAN is at the top of the Long Range (LoRa) physical layer based on the Chirp Spread Spectrum (CSS) modulation, where signals are spread along the frequency by the Spreading Factor (SF). The modulation technique gives the LoRaWAN long range coverage characteristics, that could reach 45 kilometers in theory. Furthermore, the protocol adopts the Industrial, Medical, and Scientific (ISM) frequency band plans, which impose spectrum occupation limitations, and the constraints are defined by a device Duty Cycle (DC). The DC imposes a restriction of 0.1% up to 10% in transmission time, limiting the total amount of messages an end-deceive could send. In order to increase even more the coverage area, many works proposed the adoption of multihop techniques in LoRaWAN networks. Proposed solutions are based on routing and relay approaches, both with benefits and limitations. However, the literature does not explore the DC constraints on the multihop LoRaWAN solutions since packets might be enqueued. The packet delay increases due to the time spent in the buffer, and the delivery ratio decreases because packets are dropped when the buffer is full. To understand such impact, we provide a model to generalize the DC behavior on multihop LoRaWAN networks, focused on the packet delivery ratio and delay metrics. We evaluate our model analytically and experimentally. First, we conducted a numerical comparison between the standard network with the multihop Long Range Wide Area Network (LoRaWAN) over duty cycle constraints. The comparison considers a rural area and the coverage area limited by the 802.11 ah propagation model. The results elucidated the tradeoff between packet size, number of packets, and delay. The two-hop solution could decrease the delay compared with direct transmission using high spreading factors. However, in dense networks, the intermediate device buffer increases the packet delivery delay. It could reduce the packet delivery ratio because the device must respect the duty cycle to forward packets. On the other hand, higher spreading factors decrease the payload size and need more packets to transmit the same message. Then, we compared analytical and experimental results in four relayed scenarios with different numbers of devices and different intermediate device buffer sizes. The results show the DC significantly increases the network delay and packet losses. The intermediate device also causes packet prioritization, making the network unfair. The multihop strategies are relevant for many applications, including coverage area extension, but the solutions must consider the DC constraints as a limitation to their adoption. © 2013 IEEE.</t>
  </si>
  <si>
    <t xml:space="preserve">R035</t>
  </si>
  <si>
    <t xml:space="preserve">Low-power mesh networks for off-grid communication systems: a 5G-fibre hybrid integration solution</t>
  </si>
  <si>
    <t xml:space="preserve">Fan, L.; Li, Y.; Fang, Y.; Wu, X.; Feng, J.; Chen, Y.</t>
  </si>
  <si>
    <t xml:space="preserve">International Journal of Information and Communication Technology</t>
  </si>
  <si>
    <t xml:space="preserve">10.1504/ijict.2026.152287</t>
  </si>
  <si>
    <t xml:space="preserve">This paper proposes a hybrid communication system integrating low-power wireless mesh networks (LP-WMN), 5G backhaul links, and fibre optic communication to enhance the communication capabilities of remote power infrastructure. The system design includes a LoRa-mesh-based perception layer, a 5G millimetre-wave backhaul layer, and fibre fusion technology at the core layer to overcome the bandwidth bottleneck of the LoRa protocol, ensuring efficient and stable large data transmission. The proposed three-layer joint optimisation mechanism, comprising load-aware AODV routing, power adaptation algorithms, and time-slot scheduling, dynamically adjusts network paths, transmission power, and time slots, effectively improving system throughput, reducing delays, and optimising energy efficiency. Simulation and field test results demonstrate significant improvements in throughput, delay, and energy efficiency compared to traditional LP-WMN systems, with enhanced system stability and reliability. This system provides a reliable communication foundation for future IoT applications, such as smart grids. Copyright © The Author(s) 2026.</t>
  </si>
  <si>
    <t xml:space="preserve">R036</t>
  </si>
  <si>
    <t xml:space="preserve">LoRa Mesh Network for Overhead Transmission Line Monitoring</t>
  </si>
  <si>
    <t xml:space="preserve">Gemeda, D.B.; Lehner, M.; Rauh, P.; Stork, W.</t>
  </si>
  <si>
    <t xml:space="preserve">2022 International Conference on Information and Communication Technology for Development for Africa, ICT4DA 2022</t>
  </si>
  <si>
    <t xml:space="preserve">10.1109/ict4da56482.2022.9971324</t>
  </si>
  <si>
    <t xml:space="preserve">In the last years, low power wide area networks (LP-WANs) have been developed to efficiently collect small amounts of data. Current LPWANs use a star topology, where all the traffic is sent to a central gateway. This makes them easy to implement and very energy efficient, but the coverage area of each gateway is limited and might not be sufficient for all applications. Especially for far-stretching infrastructure projects like transmission lines or pipelines, this architecture is very inefficient. The task of monitoring asset status and optimizing asset utilization for a power grid stretched over hundreds of thousands of kilometers seems costly, if not impossible. For these applications, low-power wireless mesh networks (LPWMNs) are a topic in current research. This paper develops, implements, and evaluates a novel approach for monitoring static structures with a wireless mesh network based on the LoRa (long-range) modulation from Semtech, which overcomes the limitations of traditional LPWANs. The performance of the proposed protocol was analyzed first by simulation and then with a demonstrator network on the university campus. The findings indicate that the proposed network achieves a sufficiently high packet delivery ratio (PDR) to enable the monitoring of large structures.  © 2022 IEEE.</t>
  </si>
  <si>
    <t xml:space="preserve">R037</t>
  </si>
  <si>
    <t xml:space="preserve">Optimizing Power Grid Operations with IoT-Based Distribution Transformer Monitoring System</t>
  </si>
  <si>
    <t xml:space="preserve">Yadav, A.; Gupta, K.; Rajput, S.K.</t>
  </si>
  <si>
    <t xml:space="preserve">2024 IEEE International Students' Conference on Electrical, Electronics and Computer Science, SCEECS 2024</t>
  </si>
  <si>
    <t xml:space="preserve">10.1109/sceecs61402.2024.10481946</t>
  </si>
  <si>
    <t xml:space="preserve">The paper discusses the development of a control and monitoring system for distribution transformers using IoT-based solutions. The Indian power grid is one of the largest in the world and is rapidly expanding, creating a complex mesh network. The existing SCADA system provides data to the system operator for steady-state operation, but there is a need for real-time data at the distribution level. Distribution transformers are the heart of the electrical grid, and monitoring them is crucial to prevent power outages. The proposed system uses IoT and embedded systems to monitor electrical parameters such as voltage, current, and power, and sends telemetry data to a gateway that accumulates data from other nodes and relays it to the substation. The system also includes a local dashboard for each substation and an upper layer central dashboard that collectively displays data from all substations. The system follows a three-layer architecture, with sensing nodes attached to transformers measuring electrical parameters and transmitting data to the gateway using communication modules. The communication layer processes, stores, and connects to the application layer, where the data is displayed on dashboards and can be shared with upper levels and other legacy systems using APIs with real time monitoring using MQTT and Node-RED.  © 2024 IEEE.</t>
  </si>
  <si>
    <t xml:space="preserve">R038</t>
  </si>
  <si>
    <t xml:space="preserve">BST-ID: A Variable-Length Binary Spatiotemporal ID Scheme for Hierarchical and Bandwidth-Constrained Systems</t>
  </si>
  <si>
    <t xml:space="preserve">Nagasawa, Y.; Yaguchi, Y.</t>
  </si>
  <si>
    <t xml:space="preserve">Conference Proceedings - IEEE International Conference on Systems, Man and Cybernetics</t>
  </si>
  <si>
    <t xml:space="preserve">10.1109/smc58881.2025.11343277</t>
  </si>
  <si>
    <t xml:space="preserve">We propose BST-ID, a variable-length binary spatiotemporal identifier tailored for hierarchical and bandwidth-constrained systems such as LoRa-based drone networks. Unlike traditional spatial indices that treat time as an auxiliary attribute, BST-ID encodes four-dimensional coordinates (x, y, h, t) with independently adjustable resolution, enabling compact and semantically adaptive representation. The identifier includes a binary header and bit-encoded coordinates, enabling prefix filtering and low-overhead communication with anisotropic control. The format is suitable for edge devices operating in multi-hop LPWAN environments. We implemented BST-ID and evaluated it against GeoHash and Google S2, demonstrating compactness (13 bytes average), encoding speed, and flexible prefix queries. Furthermore, we discuss its potential for decentralized data exchange, including blockchain integration and Lightning Network micropayments, where each ID acts as a hash-stable, time-scoped transaction reference. BST-ID thus offers a scalable, query-efficient, and token-aware foundation for distributed sensing, routing, and autonomous information sharing. © 2025 IEEE.</t>
  </si>
  <si>
    <t xml:space="preserve">R039</t>
  </si>
  <si>
    <t xml:space="preserve">LoRaMesher: An open-source library for multi-hop LoRa mesh networks</t>
  </si>
  <si>
    <t xml:space="preserve">Miquel Solé, J.; Freitag, F.; Baig, R.</t>
  </si>
  <si>
    <t xml:space="preserve">SoftwareX</t>
  </si>
  <si>
    <t xml:space="preserve">10.1016/j.softx.2026.102570</t>
  </si>
  <si>
    <t xml:space="preserve">LoRaMesher is an open-source C++ library that enables multi-hop mesh networks over LoRa communication on ESP32 microcontroller boards. The library implements a proactive distance-vector routing protocol that maintains routing tables on each node and provides unicast, broadcast, and reliable message delivery, including fragmentation and reassembly for large payloads. LoRaMesher leverages RadioLib for radio access and FreeRTOS for task scheduling, and integrates with PlatformIO for development. By allowing LoRa devices to communicate directly in a mesh network, rather than via LoRaWAN gateways, the library enables fully distributed applications on low-power IoT nodes. This paper describes the LoRaMesher software, its architecture, main functionalities, and usage examples, and discusses its relevance for research and applied IoT deployments. © 2026 The Author(s).</t>
  </si>
  <si>
    <t xml:space="preserve">R040</t>
  </si>
  <si>
    <t xml:space="preserve">An Energy-Efficient LoRa Multi-Hop Protocol through Preamble Sampling</t>
  </si>
  <si>
    <t xml:space="preserve">Leenders, G.; Ottoy, G.; Callebaut, G.; Van Der Perre, L.; De Strycker, L.</t>
  </si>
  <si>
    <t xml:space="preserve">10.1109/wcnc55385.2023.10118770</t>
  </si>
  <si>
    <t xml:space="preserve">Recent works have focused on utilizing LoRa to establish long-range and low-power connections between internet of things (IoT) nodes and gateways. A multi-hop scheme opens opportunities to greatly increase coverage in situations with adverse propagation effects or thin gateway deployment. In this work, we propose a multi-hop LoRa-based protocol tailored to battery-powered IoT devices. The protocol uses a combination of preamble sampling and dynamic payload aggregation to improve energy efficiency. In contrast to prior work, a fine-grained energy model of the devices is considered, impacting the design choices in all protocol layers, i.e., application, medium access control (MAC), and routing layer. The protocol is implemented in C and made public in open source. A first experiment indicates a high packet delivery ratio and showcases the dynamic aggregation feature.  © 2023 IEEE.</t>
  </si>
  <si>
    <t xml:space="preserve">R041</t>
  </si>
  <si>
    <t xml:space="preserve">Development of a Robust Emergency Communication System Utilizing LoRa and GPS with Multi-Hop Routing</t>
  </si>
  <si>
    <t xml:space="preserve">Kumaran, U.; Umah, B.; Reddy, P.P.; Shruthi, P.S.; Tharneesh, P.</t>
  </si>
  <si>
    <t xml:space="preserve">2nd International Conference on Self Sustainable Artificial Intelligence Systems, ICSSAS 2024 - Proceedings</t>
  </si>
  <si>
    <t xml:space="preserve">10.1109/icssas64001.2024.10760890</t>
  </si>
  <si>
    <t xml:space="preserve">Conventional communication methods such as mobile phones, satellite communication, and Wi-Fi face significant challenges in remote or underserved areas. Mobile phones often fail due to low signals or lack of towers, satellite communication is prohibitively expensive, and Wi-Fi cannot cover large distances. This research explores the use of LoRa (Long Range) technology combined with a multi-hop communication technique to address these issues. LoRa's long-range capabilities and low power consumption make it ideal for reliable communication in challenging environments and in contrast to GSM which calls for a subscription and is based on mobile infrastructure, LoRa operates independently and is cost-effective. By implementing a multi-hop strategy, messages are relayed through multiple nodes, significantly extending the communication range. This paper also addresses and resolves issues such as infinite looping in message passing by incorporating unique identifiers and timestamps to ensure message integrity. Performance evaluations demonstrate substantial improvements in communication reliability and range extension, establishing this method as a cost-effective and efficient alternative to traditional communication technologies. © 2024 IEEE.</t>
  </si>
  <si>
    <t xml:space="preserve">R042</t>
  </si>
  <si>
    <t xml:space="preserve">Improving the Capacity of a Mesh LoRa Network by Spreading-Factor-Based Network Clustering</t>
  </si>
  <si>
    <t xml:space="preserve">Zhu, G.; Liao, C.-H.; Sakdejayont, T.; Lai, I.-W.; Narusue, Y.; Morikawa, H.</t>
  </si>
  <si>
    <t xml:space="preserve">10.1109/access.2019.2898239</t>
  </si>
  <si>
    <t xml:space="preserve">LoRa is a low-power long-range IoT standard that uses the chirp spread spectrum technique, and we have strived to further extend its coverage by utilizing the direct device-to-device (D2D) links to construct a multi-hop relay network. In LoRa, the spreading factor (SF) is an important parameter, which not only provides great flexibility between the data rate and sensitivity but also presents a new dimension for multiple accesses. Our approach to improving the capacity of a multihop LoRa network is to attempt to off-load the data traffic into several subnets by utilizing this multiple-access dimension. Each subnet rooted at a sink node is allocated a specific SF on the basis of network clustering. This enables packet transmission in parallel with multiple SFs to become feasible. To allow such parallel transmissions, our considerations are: 1) ensuring the connectivity of all subnets; 2) off-loading the traffic according to the number of nodes, data rates, and network topologies of each subnet; and 3) shortening the airtime of each subnet by reducing the hop count. Toward these objectives, we present a tree-based SF clustering algorithm (TSCA) to conduct SF allocation in a multihop LoRa network. The TSCA focuses on balancing the airtime between the subnets while ensuring connectivity. Furthermore, we use simulations to show that our approach can significantly increase the network performance compared with other approaches. We additionally deploy a real-chip experiment to evaluate the feasibility of parallel transmission in practice. © 2019 IEEE.</t>
  </si>
  <si>
    <t xml:space="preserve">R043</t>
  </si>
  <si>
    <t xml:space="preserve">LoRa for multihop communication in internet of underground things under fading environments</t>
  </si>
  <si>
    <t xml:space="preserve">Manzil, I.I.J.; Khalil, R.A.; Saeed, N.</t>
  </si>
  <si>
    <t xml:space="preserve">Internet of Things and Cyber-Physical Systems</t>
  </si>
  <si>
    <t xml:space="preserve">10.1016/j.iotcps.2025.05.001</t>
  </si>
  <si>
    <t xml:space="preserve">This paper investigates the suitability of LoRa wireless technology for reliable underground-to-aboveground communication in the context of sustainable agricultural monitoring. We comprehensively analyze LoRa's performance in single-hop and multi-hop scenarios, considering complex environmental conditions and path loss. Mathematical expressions for the bit error rate (BER) are derived under both additive white Gaussian noise (AWGN) and Rayleigh fading, including multi-hop networks with decode-and-forward relays. Simulations under realistic Rayleigh fading scenarios validate our theoretical models. Our findings demonstrate that multi-hop LoRa networks significantly outperform single-hop systems in challenging underground environments, underscoring LoRa's potential for enhancing sustainability in various subterranean Internet of Underground Things (IoUT) agricultural applications. © 2025 The Authors</t>
  </si>
  <si>
    <t xml:space="preserve">R044</t>
  </si>
  <si>
    <t xml:space="preserve">Exploiting Underground Mine Topology for Resilient Concurrent LoRa Mesh Emergency Communications: Architecture, Protocol Design, and Performance Analysis</t>
  </si>
  <si>
    <t xml:space="preserve">Anabi, H.K.; Frimpong, S.; Raza, M.A.</t>
  </si>
  <si>
    <t xml:space="preserve">Sensors</t>
  </si>
  <si>
    <t xml:space="preserve">10.3390/s26123701</t>
  </si>
  <si>
    <t xml:space="preserve">Underground mine emergencies compromise fixed communication infrastructure exactly when situational awareness is most critical for effective rescue operations. Existing LoRa mesh protocols fail in underground mines because they ignore the structured topology of tunnel networks, specifically the waveguide effect along straight galleries, severe signal discontinuity at junctions, and the dead-end geometry of working faces. This paper presents the Topology-Aware Concurrent LoRa (TACL) mesh protocol, in which each node autonomously infers its structural role from local RF observations and packet header information, without GPS, pre-loaded mine maps, or central coordination. Role classification resolves the contender estimation problem (Formula presented.) left open in the prior concurrent transmission literature, enabling provably bounded timing offsets before transmission. TACL assigns a spreading factor (SF)12 to dead-end source nodes for maximum link robustness and SF7–SF10 to relay nodes to create the inter-SF orthogonality margin required for concurrent decoding at junction nodes. Monte Carlo simulation of over 2000 trials yields TACL a PDR of 80.5% versus near-zero for all three baselines, confirming that topology-aware SF diversity is the necessary and sufficient mechanism to prevent junction collision collapse. Hardware deployment at the Missouri S&amp;T Experimental Mine yields a 4.0× PDR improvement over the topology-agnostic concurrent transmission (CT)-fixed baseline, a median end-to-end latency of 1815 ms with 84× tighter latency spread than ALOHA-based protocols and 2.5× lower energy per delivered packet. These results establish that explicit exploitation of underground mine topology is essential for reliable, predictable, and energy-efficient emergency mesh communications in post-disaster underground mine scenarios. © 2026 by the authors.</t>
  </si>
  <si>
    <t xml:space="preserve">R045</t>
  </si>
  <si>
    <t xml:space="preserve">Evaluating Duty-Cycle Enforcement in Distance-Vector LoRa Mesh Networks: A Cross-Layer ns-3 Study</t>
  </si>
  <si>
    <t xml:space="preserve">Arroyo, D.; Sobarzo, S.; Saavedra, G.</t>
  </si>
  <si>
    <t xml:space="preserve">2026 IEEE International Mediterranean Conference on Communications and Networking, MeditCom 2026</t>
  </si>
  <si>
    <t xml:space="preserve">10.1109/meditcom67211.2026.11641097</t>
  </si>
  <si>
    <t xml:space="preserve">Multi-hop LoRa (LoRa mesh) can extend coverage and resilience beyond LoRaWAN star topologies, but its end-to-end performance degrades when duty-cycle (DC) constraints are enforced and traffic is no longer sporadic. However, many LoRa mesh evaluations either do not enforce DC explicitly or do not record metrics that connect DC enforcement with control-plane degradation. This paper evaluates the impact of DC enforcement in a cross-layer LoRa mesh stack with proactive Distance-Vector (DV) routing that advertises routes through a compact scalar score and a CSMA/CA MAC based on Channel Activity Detection (CAD), with explicit 1% DC applied to both data and beacons. We evaluate this stack under any-to-any traffic in a 1 ~km2 area for network sizes N=9,16,25,36,49, and 64 randomly located nodes, under low and medium loads, and 10 seeds per configuration (240 runs). Results show that enabling DC systematically reduces the end-to-end delivery ratio (DR): for N=25 it drops from 0.958 to 0.438 under low load and from 0.159 to 0.058 under medium load, while for N=64 the relative impact is smaller (from 0.399 to 0.314 and from 0.051 to 0.039) due to a transition to a contention-dominated regime. Control-plane logging is consistent with this mechanism: DC reduces beacon health (Hb), which is accompanied by DV route expirations and more no-route events, linking DC enforcement to end-to-end losses.  © 2026 IEEE.</t>
  </si>
  <si>
    <t xml:space="preserve">R046</t>
  </si>
  <si>
    <t xml:space="preserve">Implementation of a LoRaMesh Network and Verification of Its Effectiveness through Demonstration Experiments</t>
  </si>
  <si>
    <t xml:space="preserve">Uehara, D.; Tsukamoto, K.</t>
  </si>
  <si>
    <t xml:space="preserve">GCCE 2025 - 2025 IEEE 14th Global Conference on Consumer Electronics</t>
  </si>
  <si>
    <t xml:space="preserve">10.1109/gcce65946.2025.11275080</t>
  </si>
  <si>
    <t xml:space="preserve">LoRaWAN is widely used in smart agriculture and smart cities for its low power consumption, long-range communication, and cost efficiency. However, its effectiveness declines in environments with dense buildings or forests, where obstacles impede communication. To address this, we propose and evaluate a LoRaWAN-based Mesh (LoRaMesh) Network. We compare the maximum communication distance achievable in a one-hop scenario with obstacles to that in a two-hop scenario using a relay node. Our system uses three Arduino units with LoRa Shields, configured as transmitter, relay, and receiver nodes, respectively, to form a mesh topology. Experiments are conducted in two environments: one with a clear line of sight and another with dense obstacles. In the clear environment, the relay increases the maximum communication distance by 1.5 km, while in the obstacle-rich one, the increase is 420 m-about one-third of that in the clear environment. These results show that mesh networking can effectively extend LoRaWAN coverage even in an obstructed environment, but the degree of improvement is highly dependent on the environment surrounding the receiver nodes. © 2025 IEEE.</t>
  </si>
  <si>
    <t xml:space="preserve">R047</t>
  </si>
  <si>
    <t xml:space="preserve">ArcLoRaM: Power-Aware LoRa Mesh Protocol for Remote Monitoring</t>
  </si>
  <si>
    <t xml:space="preserve">Langlais, S.; Gottschalk, E.; Petersen, M.N.</t>
  </si>
  <si>
    <t xml:space="preserve">Proceedings of the IEEE World Forum on Internet of Things, WF-IoT</t>
  </si>
  <si>
    <t xml:space="preserve">10.1109/wf-iot64238.2025.11270542</t>
  </si>
  <si>
    <t xml:space="preserve">Environmental monitoring in the Arctic presents extreme challenges due to its vast, infrastructure-sparse terrain, harsh climate, and strict environmental regulations. Traditional communication methods such as satellite links or manual data retrieval are power-hungry, costly, or operationally impractical. In response, we introduce ArcLoRaM, a custom mesh protocol for ultra-low-power, long-range data transmission using sub-Ghz LoRa technology. ArcLoRaM is designed specifically for remote deployments where node autonomy and longevity are critical. It combines a hybrid mesh-of-stars topology with a time-synchronized TDMA communication scheme, decentralized power-aware routing, and self-healing capabilities. The protocol dynamically balances network load based on battery levels and hop distances, ensuring long-term operation while avoiding communication bottlenecks. We validate ArcLoRaM through simulations that analyze data throughput, collision probability, and energy efficiency under realistic regulatory constraints. Benchmark scenarios demonstrate the protocol's ability to scale from compact clusters to wide-area deployments exceeding 30,000 square kilometers, as well as its suitability for low-data-rate applications with minimal infrastructure. These results confirm that ArcLoRaM enables reliable and sustainable data collection in Arctic and similarly challenging environments. © 2025 IEEE.</t>
  </si>
  <si>
    <t xml:space="preserve">R048</t>
  </si>
  <si>
    <t xml:space="preserve">Energy-Saving Routing Protocols for Smart Cities</t>
  </si>
  <si>
    <t xml:space="preserve">Medeiros, D.D.F.; Souza, C.P.D.; Carvalho, F.B.S.D.; Lopes, W.T.A.</t>
  </si>
  <si>
    <t xml:space="preserve">Energies</t>
  </si>
  <si>
    <t xml:space="preserve">10.3390/en15197382</t>
  </si>
  <si>
    <t xml:space="preserve">In recent decades, expansion in urban areas has faced issues such as management of public waste, noise, mobility, and air quality, among others. In this scenario, Internet of Things (IoT) and Wireless Sensor Network (WSN) scenarios are being considered for Smart Cities solutions based on the deployment of wireless remote sensor nodes to monitor large urban areas. However, as the number of nodes increases, the amount of data to be routed increases significantly as well, meaning that the choice of the data routing process has great importance in terms of the energy consumption and lifetime of the network. In this work, we describe and evaluate the energy consumption of routing protocols for WSN-based Smart Cities applications in LoRa-based mesh networks, then propose a novel energy-saving radio power adjustment (RPA) routing protocol. The Cupcarbon network simulator was used to evaluate the performance of different routing protocols in terms of their data package delivery rate, average end-to-end delay, average jitter, throughput, and load consumption of battery charge. Additionally, a novel tool for determining the range of nodes based on the Egli propagation model was designed and integrated into Cupcarbon. The routing protocols used in this work are Ad Hoc On-Demand Distance Vector (AODV), Dynamic Source Routing (DSR), and Distance Vector Routing (DVR). Our simulation results show that AODV presents the best overall performance, DSR achieves the best results for power consumption, and DVR is the best protocol in terms of latency. Finally, the proposed RPA routing protocol presents power savings of 11.32% compared to the original DSR protocol. © 2022 by the authors.</t>
  </si>
  <si>
    <t xml:space="preserve">R049</t>
  </si>
  <si>
    <t xml:space="preserve">Enabling RPL multihop communications based on LoRa</t>
  </si>
  <si>
    <t xml:space="preserve">Sartori, B.; Thielemans, S.; Bezunartea, M.; Braeken, A.; Steenhaut, K.</t>
  </si>
  <si>
    <t xml:space="preserve">International Conference on Wireless and Mobile Computing, Networking and Communications</t>
  </si>
  <si>
    <t xml:space="preserve">10.1109/wimob.2017.8115756</t>
  </si>
  <si>
    <t xml:space="preserve">New Long-Range radio technologies have recently emerged in the IoT landscape. These technologies work in the Sub-GHz bands, allowing low-power communications over long distances. They are typically based on star-topology networks, where nodes send the data directly to a base station connected to the Internet. One of such technologies is LoRa. Enabled LoRa-based multihop communications would open up new possibilities. In this paper we present a solution allowing to have multihop LoRa communications. This is done by means of a newly designed MAC protocol (RLMAC), used to select the Spreading Factor for each available neighbor. The proposed Objective Function used by RPL will therefore be able to select the routing path that minimizes time on-air. By selecting the path with the lowest time on-air, the power consumption can be decreased, enlarging network lifetime. Preliminary validation tests are also presented in the paper. © 2017 IEEE.</t>
  </si>
  <si>
    <t xml:space="preserve">R050</t>
  </si>
  <si>
    <t xml:space="preserve">Prospects and Challenges in UAV-Based Communication for Disaster Management</t>
  </si>
  <si>
    <t xml:space="preserve">Haldar, C.; Podder, S.</t>
  </si>
  <si>
    <t xml:space="preserve">Proceedings of 2025 IEEE Artificial Intelligence for Computing, Astronomy, and Renewable Energy, AICARE 2025</t>
  </si>
  <si>
    <t xml:space="preserve">10.1109/aicare66005.2025.11402816</t>
  </si>
  <si>
    <t xml:space="preserve">Natural disasters like earthquakes, floods and wild fires are responsible for enormous human and economic causalities. Traditional methods of assessing such as ground reconnaissance, manned aerial observation and satellite imagery are usually time-consuming, unsafe and unsuitable in dynamic disaster situations. UAVs have demonstrated their effectiveness in disaster management, such as for rapid and agile high-resolution data acquisition to support situational awareness, damage inspection and the relief supply chain. This paper provides a detailed study of conventional disaster management system and various technologies of UAV communication architectures for disaster management. It also discusses severe issues like restricted range, infrastructure dependency, network overload, and signal degradation due to interference in the environment. To address these limitations, we suggest a hybrid UAV communication architecture integrating satellite, LoRa, and FANET-based mesh networking. The design enables UAVs to flexibly transition between communication modes according to mission requirements, Active level of resources (AoR), geography, and available battery stocks. The architecture is complemented by optimized routing approaches that are individually designed for different communication types, contributing to low-latency, fault-tolerant and energy-efficient data transmission. This method dramatically reduces scale resistance, flexibility and the agileness of real-time data-intensive using. By bridging current communication gaps and facilitating real-time information sharing, the proposed system provides a sustainable and resilient solution to improving UAV-based disaster response operations. The research opens doors for future potential research work in field deployment, edge computing, and integrating artificial intelligence-assisted decision-making, and autonomous multi-agent-based disaster management systems. ©2025 IEEE.</t>
  </si>
  <si>
    <t xml:space="preserve">R051</t>
  </si>
  <si>
    <t xml:space="preserve">Multi-copy, Spatially-Confined Broadcast Routing to Support Message Delivery with Handshaking in Multi-hop LoRa Network</t>
  </si>
  <si>
    <t xml:space="preserve">Wibawa, Y.P.; Yogiswara, I.P.A.; Kusuma, A.A.N.A.; Agastani, T.; Pinastiko, W.S.; Irawan, D.; Hamdani, M.; Samudro, M.A.</t>
  </si>
  <si>
    <t xml:space="preserve">International Conference on Radar, Antenna, Microwave, Electronics, and Telecommunications, ICRAMET</t>
  </si>
  <si>
    <t xml:space="preserve">10.1109/icramet67419.2025.11350147</t>
  </si>
  <si>
    <t xml:space="preserve">Although LoRaWAN standard has recently issued relay specification used for multi-hop communication, its application has not been prevalent. This paper proposes multi-hop capability, coupled with multi-copy, spatially confined-broadcast message routing for Lora-based network. To reduce the impact of medium access contention, local slotted Aloha is utilized, and enhance it with sender-aware forwarding scheme. We also extend its capability to facilitate handshaking communication. Developing this capability aims at larger network coverage, complex network topology, and provides reliable message delivery when poor links are expected within the network. We developed multi-hop-capable LoRa devices prototype and deploy them in a meshtopology network. Packet delivery rate and latency are evaluated. The result shows that our developed multi-hop capability, coupled with spatially-confined broadcast routing protocol for message delivery and handshaking, can achieve above 95 percent packet delivery rate with acceptable latency in mesh network and effectively mitigate the impact of poor link within the network  © 2025 IEEE.</t>
  </si>
  <si>
    <t xml:space="preserve">R052</t>
  </si>
  <si>
    <t xml:space="preserve">Lora-hybrid: A LoRaWAN based multihop solution for regional microgrid</t>
  </si>
  <si>
    <t xml:space="preserve">Zhou, W.; Tong, Z.; Dong, Z.Y.; Wang, Y.</t>
  </si>
  <si>
    <t xml:space="preserve">2019 IEEE 4th International Conference on Computer and Communication Systems, ICCCS 2019</t>
  </si>
  <si>
    <t xml:space="preserve">10.1109/ccoms.2019.8821683</t>
  </si>
  <si>
    <t xml:space="preserve">Low Power Wide Area Network (LPWAN), such as LoRaWAN, has become the most fast-growing Internet of Things wireless solution in recent years. In April 2018, the city of Newcastle in Australia has rolled out a smart city initiative by adopting LoRaWAN. With its long-range, low power and low-cost features, it is ideal for a regional smart grid as an extension of the smart city project. Whereas, LoRaWAN single-hop topology hinders its further expansion because this mode would require more gateway installation to extend network coverage. It is foreseeably cost-effective if the message can be relayed by end devices while not sacrificing the performances. In this paper, we present a novel architecture by utilizing LoRaWAN MAC (media Access control) layer and application layer to overcome obstructions, such as buildings and hills, extending radio coverage. During our field test, we receive encouraging performance outcome when putting the system to test in a simulated grid environment. © 2019 IEEE.</t>
  </si>
  <si>
    <t xml:space="preserve">R053</t>
  </si>
  <si>
    <t xml:space="preserve">LoRa as a Mesh Networking Technology</t>
  </si>
  <si>
    <t xml:space="preserve">Branch, P.</t>
  </si>
  <si>
    <t xml:space="preserve">International Conference on Information Networking</t>
  </si>
  <si>
    <t xml:space="preserve">10.1109/icoin63865.2025.10992870</t>
  </si>
  <si>
    <t xml:space="preserve">Although LoRa is primarily known for the long distances it can cover it also has characteristics that make it attractive as a relay technology in mesh networks. Unlike other wireless network technologies where concurrent transmission by two or more nodes results in corruption of both messages at the receiver, a LoRa receiver synchronises with just one transmitter and treats any other concurrent transmission as noise. This greatly simplifies the design of network relays in that they do not need complex schemes to deal with contention. It also reduces the number of copies of a message received at the destination. This approach also reduces latency when compared with schemes such as CSMA/CA used in other networks. However, there is a cost in terms of reduced Signal to Noise Ratio (SNR) which has a consequent impact on message error rate at the receiver. In this paper we use a two hop LoRa network comprising a transmitter, multiple relays and a receiver to evaluate the impact of concurrent transmission on latency, the number of packets forwarded, the SNR, the Received Signal Strength Indicator (RSSI) and the error rate as the number of relays forwarding a copy of the same message is increased. We observed that LoRa receivers synchronise with just one transmitter and forward only one copy of a message. We also observed that there is negligible latency regardless of the number of relays at each hop. However, we see an impact on SNR and successful message delivery. SNR reduces as the number of relays transmitting concurrently increases and successful frame delivery deteriorates rapidly once more than four relays forward a message with 45% messages lost when there are seven relays. © 2025 IEEE.</t>
  </si>
  <si>
    <t xml:space="preserve">R054</t>
  </si>
  <si>
    <t xml:space="preserve">Building Multihop LoRa Network for Enhanced Range and Quality Transmission of Healthcare Data</t>
  </si>
  <si>
    <t xml:space="preserve">Paria, S.; Nath, S.; Mallick, C.; Das, D.</t>
  </si>
  <si>
    <t xml:space="preserve">2023 8th International Conference on Computers and Devices for Communication, CODEC 2023</t>
  </si>
  <si>
    <t xml:space="preserve">10.1109/codec60112.2023.10466170</t>
  </si>
  <si>
    <t xml:space="preserve">Efforts towards a cheap yet efficient health care infrastructure for remote rural areas requires longrange remote sensing communication over large areas. However, establishing efficient healthcare infrastructure in remote areas in developing countries like India, continues to be hampered by the lack of cost-effective and scalable IoT solutions. In this paper, a technique of multihop LoRa Network is built using relay for quality health data transmission for low-cost low power solution. © 2023 IEEE.</t>
  </si>
  <si>
    <t xml:space="preserve">R055</t>
  </si>
  <si>
    <t xml:space="preserve">Enabling direct messaging from LoRa to ZigBee in the 2.4 GHz Band for industrial wireless networks</t>
  </si>
  <si>
    <t xml:space="preserve">Shi, J.; Chen, X.; Sha, M.</t>
  </si>
  <si>
    <t xml:space="preserve">Proceedings - IEEE International Conference on Industrial Internet Cloud, ICII 2019</t>
  </si>
  <si>
    <t xml:space="preserve">10.1109/icii.2019.00043</t>
  </si>
  <si>
    <t xml:space="preserve">IEEE 802.15.4-based wireless sensor-actuator networks (WSANs) have been quickly adopted by process industries in recent years because of their significant role in improving industrial efficiency and reducing operating cost. Battery-powered wireless modules can be used to easily and inexpensively retrofit existing sensors and actuators in industrial facilities without running cabling for communication and power. Wireless-enabled sensors, actuators, and controllers form a low-power multi-hop mesh network to exchange sensing data and control commands. Today, industrial WSANs are becoming tremendously larger and more complex than before. A large and complex mesh network is hard to manage and inelastic to change once the network is deployed. Besides, flooding-based time synchronization and information dissemination introduce significant communication overhead to the network. More importantly, the deliveries of urgent and critical information such as emergency alarms suffer long delay, because those messages must go through the hop-by-hop transport. A promising solution to overcome those limitations is to enable the direct messaging from a long-range radio to an IEEE 802.15.4 radio. Then messages can be delivered to all field devices in a single-hop fashion. This paper presents our study on enabling the cross-technology communication (CTC) from LoRa to ZigBee (IEEE 802.15.4) using the energy emission of the LoRa radio in the 2.4 GHz band as the carrier to deliver information. Experimental results show that our CTC approach provides reliable communication from LoRa to ZigBee with the throughput of up to 576.80bps and the bit error rate (BER) of up to 5.23% in the 2.4 GHz band. © 2019 IEEE.</t>
  </si>
  <si>
    <t xml:space="preserve">R056</t>
  </si>
  <si>
    <t xml:space="preserve">Hierarchical Adaptive Energy-Efficient Protocol for LoRa-Mesh Networks: A Data Fusion and Wake-on-Air Based Approach</t>
  </si>
  <si>
    <t xml:space="preserve">Li, X.; Chen, G.; Shang, J.; Qi, H.</t>
  </si>
  <si>
    <t xml:space="preserve">IEEE Internet of Things Journal</t>
  </si>
  <si>
    <t xml:space="preserve">10.1109/jiot.2026.3732880</t>
  </si>
  <si>
    <t xml:space="preserve">To address short battery lifetime, high energy consumption, collision-prone network construction, and limited abnormal-event responsiveness in large-scale LoRa-Mesh networks for fine particulate matter (PM2.5) monitoring, this study proposes a Hierarchical Adaptive Energy-Efficient (HAEE) protocol. HAEE jointly integrates Wake-on-Air (WoA)-assisted hierarchical construction, Data-Driven Adaptive Sampling (DDAS), and hierarchical abnormal-data forwarding. WoA assigns nodes to different layers according to their hop distance from the gateway and avoids blind network-wide flooding during initialization. DDAS dynamically adjusts the wake-up cycles of neighboring nodes according to PM2.5 thresholds and a topology-derived normalized Local Spatial Correlation (LSC) control index, reducing redundant sensing and communication under stable conditions. Abnormal data are forwarded to the gateway through Received Signal Strength Indicator (RSSI)-based upper-layer relay selection. Thirty-seed Monte Carlo simulations show that HAEE achieves shorter initialization time and lower packet collision rate than representative hierarchical and proactive LoRa-Mesh baselines. Under the unified state-based energy model, HAEE reduces network energy consumption over the 300-s evaluation window by approximately 84.7% at 300 nodes compared with the simultaneous wake-up strategy. The LSC-aware DDAS mechanism reduces simulated daily energy consumption per node from approximately 284 J/day to 78 J/day across the evaluated LSC range. In a synthetic spatio-temporal PM2.5 simulation, HAEE-DDAS achieves approximately 95.2% data fidelity and 99.9% abnormal-event recall. HAEE also improves network lifetime and delivery reliability under different LoRa physical-layer settings, traffic loads, channel conditions, and node-failure scenarios. These results establish the effectiveness of HAEE for long-term large-scale PM2.5 monitoring under the stated simulation configuration. © 2014 IEEE.</t>
  </si>
  <si>
    <t xml:space="preserve">R057</t>
  </si>
  <si>
    <t xml:space="preserve">Multi-Hop LoRa Communication for Natural Disaster Management: A Field Test</t>
  </si>
  <si>
    <t xml:space="preserve">Marrara, G.; Suraci, C.; Tropeano, A.; Bombino, G.; Araniti, G.</t>
  </si>
  <si>
    <t xml:space="preserve">Proceedings - 2023 IEEE 8th International Conference on Information and Communication Technologies for Disaster Management, ICT-DM 2023</t>
  </si>
  <si>
    <t xml:space="preserve">10.1109/ict-dm58371.2023.10286960</t>
  </si>
  <si>
    <t xml:space="preserve">Natural disasters present a significant challenge to emergency response teams, as they frequently disrupt communication infrastructure and hinder situational awareness. Italy's morphological structure places roughly 14% of its territory at risk for flooding. In particular, Calabria is considered the region most exposed to the high-risk scenario; therefore, to manage the hydrogeological risk many check-dams have been built, whose constant and timely monitoring is crucial. The integration of the Internet of Things (IoT) paradigm and Long-Range radio (LoRa) technology offers a potential solution for ensuring resilient communication networks in the face of natural disasters. This paper presents a field test that implements a multi-hop device-to-device (D2D) LoRa network, in which nearby devices communicate directly through LoRa technology, to optimize the process of updating the ARCHIMEDE database, a WebGIS archive of hydraulic intervetions, that can be interfaced with the Territorial Information Systems used by the Civil Protection of the Calabria Region in Italy.  © 2023 IEEE.</t>
  </si>
  <si>
    <t xml:space="preserve">R058</t>
  </si>
  <si>
    <t xml:space="preserve">Forest Fire Monitoring and Energy Optimization Based on LoRa-Mesh Wireless Communication Technology</t>
  </si>
  <si>
    <t xml:space="preserve">Li, Z.; Li, X.; Shang, J.</t>
  </si>
  <si>
    <t xml:space="preserve">Electronics (Switzerland)</t>
  </si>
  <si>
    <t xml:space="preserve">10.3390/electronics14214135</t>
  </si>
  <si>
    <t xml:space="preserve">Forest fire monitoring is of great significance for ecological protection and public safety. This study proposes a monitoring technology based on LoRa-Mesh (Long Range-Mesh) wireless communication, integrating temperature and humidity sensing, image acquisition, fire identification, data transmission, and energy-saving optimization. To address the limitations of traditional LoRa networks in flexibility and energy consumption, a Layered Dynamic Synchronization Energy-saving (LDSE) protocol is designed. By constructing a hierarchical network, employing implicit route exploration, multi-channel and multi-path communication, and time synchronization optimization, the protocol significantly reduces packet loss rate and system energy consumption. Experimental results demonstrate that the LDSE protocol outperforms the traditional Ad hoc On-Demand Distance Vector Routing Protocol (AODV) in terms of packet loss rate, energy consumption, and latency. Additionally, the proposed energy-saving algorithm significantly reduces system power consumption, with the node sleep-relay mode exhibiting optimal energy efficiency. Experimental verification confirms that the system achieves high reliability, low power consumption, and efficient data transmission, providing an effective IoT solution for forest fire prevention. © 2025 by the authors.</t>
  </si>
  <si>
    <t xml:space="preserve">R059</t>
  </si>
  <si>
    <t xml:space="preserve">1st International Conference on on Computational Intelligence in Engineering Science, ICCIES 2025</t>
  </si>
  <si>
    <t xml:space="preserve">Communications in Computer and Information Science</t>
  </si>
  <si>
    <t xml:space="preserve">The proceedings contain 31 papers. The special focus in this conference is on Computational Intelligence in Engineering Science. The topics include: PRIMO: A Privacy-Preserving Decentralized Machine Learning Algorithm; smart Harvesting: Sorting Coffee Fruit Maturity Using Deep Learning; Combining Explainable AI (XAI) and Regression Analysis to Explain Relationships in Electricity Consumption Behavior; detecting Anomalies and Defects in Integrated Circuits by Ensembling Deep Learning Models; Doctor AI: A Hybrid Model for Clinical Ocular Disease Classification; forecasting Weather: A Scenario of the Mekong Delta; melanoma Detection Using Augmented ResNet34 for High-Precision Dermoscopic Image Classification; abnormal Plums Detection Using Unsupervised Learning; Hybrid Deep Learning Model for MRI Brain Tumor Identification; leveraging Machine Learning for Accurate Order Quantity Forecasting: A Case Study of Vietnam’s Coffee Production Industry; an Attentive Deep Neuro-Fuzzy Network for Interpretable Breast Cancer Diagnosis; detection of Littering Behavior Using MobileNet and Vision Transformer; the Effectiveness of Channel and Spatial Attention for Improving Image Classification; ATMOS: IoT-Driven Air Quality Monitoring and Forecasting System Using Machine Learning and Fog Computing; leveraging Deep Neural Networks for Regional Weather Forecasting in Vietnam; detecting Abnormalities in Chest X-Ray Images by Combining Classification Methods, Object Detection, and Data Balancing; support Decision Making for Supplier Selection Using Feature Importance; Optimizing NP-Hard Problems: A Comparative Study of Metaheuristic Algorithms with Benchmark Performance Analysis; on the Performance of Downlink LoRa Networks with Fountain Codes and Diversity Techniques; Maximizing Secrecy Performance in UAV-Based Cognitive Relay Systems; Outage Performance of NOMA-Aided Multi-hop Relay Schemes in Underlay Cognitive Networks Using Fountain Codes; Energy Outage Analysis for NOMA-Based UAV-MEC with Imperfect CSI and SIC in IoT Network; Secure Edge Computing in UAV-Assisted Backscatter Communication NOMA Wireless Sensor Network with Friendly Jamming.</t>
  </si>
  <si>
    <t xml:space="preserve">R060</t>
  </si>
  <si>
    <t xml:space="preserve">LoRaMPP: Optimizing IoT Messaging Efficiency Using Unlicensed Spectrum</t>
  </si>
  <si>
    <t xml:space="preserve">Sifat, F.K.; Saha, P.K.; Torikur Rahman, M.; Haque, R.; Abul Basar, M.; Nazmus Sadat, S.M.; Islam, M.A.</t>
  </si>
  <si>
    <t xml:space="preserve">Lecture Notes in Electrical Engineering</t>
  </si>
  <si>
    <t xml:space="preserve">10.1007/978-981-92-3681-7_12</t>
  </si>
  <si>
    <t xml:space="preserve">The growing demand for scalable, low-power, and flexible communication in the Internet of Things (IoT) has highlighted the limitations of existing LoRa-based protocols, particularly in infrastructure-less or energy-constrained environments. This paper presents LoRaMPP (LoRa Multi-purpose Protocol), a novel hybrid communication framework designed for energy-efficient IoT messaging over unlicensed spectrum. LoRaMPP supports dual-mode operation–gateway-based WAN communication and peer-to-peer (P2P) or mesh networking–enabling seamless adaptability across smart cities, remote agricultural zones, and disaster-prone areas. The proposed system introduces an adaptive MAC layer, flexible packet structure, lightweight mesh routing, and mobile user access via USB Type-C or BLE. It incorporates power optimization techniques including duty-cycled sleep scheduling, adaptive spreading factor (SF) selection, and collision-aware backoff mechanisms. Security is enhanced with optional AES-128 encryption and message integrity checks. Comprehensive evaluation on ESP32-based nodes with SX1278 transceivers, as well as custom simulations across varied environments, demonstrates up to 12% higher packet delivery ratio (PDR), 39% lower indoor latency, and battery lifetime extension of up to 6.8 months compared to existing protocols such as LoRaWAN, LoRaMesh, and DoLoRa. LoRaMPP was evaluated using ESP32-based nodes and SX1278 transceivers, and benchmarked against LoRaWAN, LoRaMesh, and DoLoRa. Results demonstrate improved packet delivery ratio, reduced energy consumption per byte, and lower latency, especially in infrastructure-less settings. By combining the robustness of LoRaWAN, the decentralization of LoRaMesh, the energy awareness of DoLoRa, and the accessibility of PicoWAN, LoRaMPP offers a unified and practical solution for modern IoT deployments requiring resilience, energy efficiency, and offline operability. © The Author(s), under exclusive license to Springer Nature Singapore Pte Ltd. 2026.</t>
  </si>
  <si>
    <t xml:space="preserve">R061</t>
  </si>
  <si>
    <t xml:space="preserve">Adaptive Parameters Configuration of LoRa for Multi-Hop Networks Transmission</t>
  </si>
  <si>
    <t xml:space="preserve">Jumali, M.K.; Lim, K.G.; Angeline, L.; Moung, E.G.; Wang, T.; Kin Teo, K.T.</t>
  </si>
  <si>
    <t xml:space="preserve">7th IEEE International Conference on Artificial Intelligence in Engineering and Technology, IICAIET 2025</t>
  </si>
  <si>
    <t xml:space="preserve">10.1109/iicaiet67254.2025.11265326</t>
  </si>
  <si>
    <t xml:space="preserve">This study assesses a node-autonomous Adaptive Data Rate (ADR)-like algorithm's performance in optimizing Packet Delivery Ratio (PDR) in a LoRa multi-hop network, simulated in a forestry-like environment using Python with Visualize and matplotlib at 915 MHz. Using a log-distance path loss model, a three-node setup (transmitter, relay, gateway) spans 200-1000 meters, adjusting Spreading Factor (SF10-SF12), transmission power (14-20 dBm), and bandwidth (125-250 kHz). After 300 packets, PDR remains 100% up to 400 meters, drops to 40% at 500 meters, and nears 0% at 1,000 meters, with RSSI declining from -90 dBm to -125 dBm and SNR from 30 dB to 0 dB. Energy use rises from 0-2,000 mJ to over 8,000 mJ at 1000 meters due to retransmissions. At large scale After 1,000 packets, PDR fluctuates, dropping from 100% to 0% at 0-200 meters, peaking at 50% at 300 meters, 70% at 800 meters, and falling to 10% at 600 meters. Energy consumption spikes from 2,000 mJ to 30,000 mJ between 500-700 meters, dips to 5,000 mJ at 850 meters, and rises beyond 1,000 meters. Packet collisions increase from 30 to 50 at 550-600 meters, drop to 30 at 850 meters, and surge to 300 beyond 1,000 meters due to co-channel interference. The 500-meter limit suggests optimal relay placement. While effective at short ranges, the algorithm struggles at longer distances, indicating a need for coding rate adjustments or additional relays. This study offers insights for energy-efficient LoRaWAN deployments in challenging terrains, recommending real-world validation.  © 2025 IEEE.</t>
  </si>
  <si>
    <t xml:space="preserve">R062</t>
  </si>
  <si>
    <t xml:space="preserve">SF-Partition-Based Clustering and Relaying Scheme for Resolving Near–Far Unfairness in IoT Multihop LoRa Networks</t>
  </si>
  <si>
    <t xml:space="preserve">Mugerwa, D.; Nam, Y.; Choi, H.; Shin, Y.; Lee, E.</t>
  </si>
  <si>
    <t xml:space="preserve">10.3390/s22239332</t>
  </si>
  <si>
    <t xml:space="preserve">Long range (LoRa) is one of the most successful low-power wide-area networking technologies because it is ideally suited for long-distance, low-bit rate, and low-power communications in the unlicensed sub-GHz spectrum utilized for Internet of things (IoT) networks. The effectiveness of LoRa depends on the link budget (i.e., spreading factor (SF), bandwidth (BW), and transmission power (TX)). Due to the near–far effect, the allocation of a link budget to LoRa devices (LDs) in large coverage regions is unfair between them depending on their distance to the GW. Thus, more transmission opportunities are given to some LDs to the detriment of other LD’s opportunities. Numerous studies have been conducted to address the prevalent near–far fairness problem. Due to the absence of a tractable analytical model for fairness in the LoRa network, however, it is still difficult to solve this problem completely. Thus, we propose an SF-partition-based clustering and relaying (SFPCR) scheme to achieve enormous LD connectivity with fairness in IoT multihop LoRa networks. For the SF partition, the SFPCR scheme determines the suitable partitioning threshold point for bridging packet delivery success probability gaps between SF regions, namely, the lower SF zone (LSFZ) and the higher SF zone (HSFZ). To avoid long-distance transmissions to the GW, the HSFZ constructs a density-based subspace clustering that generates clusters of arbitrary shape for adjacent LDs and selects cluster headers by using a binary score representation. To support reliable data transmissions to the GW by multihop communications, the LSFZ offers a relay LD selection that ideally chooses the best relay LD to extend uplink transmissions from LDs in the HSFZ. Through simulations, we show that the proposed SFPCR scheme exhibits the highest success probability of 65.7%, followed by the FSRC scheme at 44.6%, the mesh scheme at 34.2%, and lastly the cluster-based scheme at 29.4%, and it conserves the energy of LDs compared with the existing schemes. © 2022 by the authors.</t>
  </si>
  <si>
    <t xml:space="preserve">R063</t>
  </si>
  <si>
    <t xml:space="preserve">An Embedded Multi-Sensor IoT Platform for Agricultural Monitoring Using Meshtastic-Based LoRa Communication and Cloud Microservices</t>
  </si>
  <si>
    <t xml:space="preserve">Negulescu, C.; Borangiu, T.; Răileanu, S.; Anghel, V.-V.</t>
  </si>
  <si>
    <t xml:space="preserve">10.3390/s26185839</t>
  </si>
  <si>
    <t xml:space="preserve">The paper presents a low-cost agricultural monitoring platform based on embedded IoT sensing, LoRa mesh communication, and an Edge–Fog–Cloud architecture designed for real-time environmental monitoring in smart agriculture applications. The proposed system integrates distributed sensor nodes built around the Heltec Mesh Node T114 platform, combining an nRF52840 microcontroller with an SX1262 LoRa transceiver to support low-power, long-range communication in agricultural environments. Environmental data acquisition is performed using integrated BME280 temperature, humidity, and pressure sensors, capacitive soil moisture sensors, and TEMT6000 light sensors. A custom firmware architecture extending the Meshtastic framework was developed to support sensor integration, telemetry generation, packet forwarding, and energy-aware scheduling within the LoRa mesh network. The platform combines embedded telemetry modules, intermediate routing mechanisms, and cloud-based microservices responsible for data aggregation and processing. Experimental results showed stable radio-link conditions in the tested node-to-router configuration, with RSSI values around −55 dBm and SNR values of approximately 6–7 dB. Channel utilization varied between approximately 4% and 12%, while transmission airtime utilization remained below 5%. These results support the feasibility of the proposed sensing, communication, and data-processing architecture under the tested configuration. The architecture is designed to accommodate additional sensing and routing nodes, while multi-hop performance, long-term energy consumption, and network scalability remain to be evaluated in larger deployments. © 2026 by the authors.</t>
  </si>
  <si>
    <t xml:space="preserve">R064</t>
  </si>
  <si>
    <t xml:space="preserve">Time‐Slotted Spreading Factor Hopping for Mitigating Blind Spots in LoRa‐Based Networks</t>
  </si>
  <si>
    <t xml:space="preserve">Iglesias‐rivera, A.; Van Glabbeek, R.; Guerra, E.O.; Braeken, A.; Steenhaut, K.; Cruz‐enriquez, H.</t>
  </si>
  <si>
    <t xml:space="preserve">10.3390/s22062253</t>
  </si>
  <si>
    <t xml:space="preserve">It has been demonstrated that LoRa‐based wide area networks (WANs) can cover ex-tended areas under harsh propagation conditions. Traditional LoRaWAN solutions based on single-hop access face important drawbacks related to the presence of blind spots. This paper aims to tackle blind spots and performance issues by using a relaying approach. Many researchers investigating multi‐hop solutions consider a fixed spreading factor (SF). This simplifies synchronization and as-sociation processes, but does not take advantage of the orthogonality between the virtual channels (i.e., frequency, SF) that help to mitigate blind spots. This paper proposes a time‐slotted spreading factor hopping (TSSFH) mechanism that combines virtual channels and time slots into a frame struc-ture. Pseudo‐random scheduling is used inside blind spots, which simplifies the end‐devices’ communication process and network organization. The results show how collisions decrease inside blind spots when more communication opportunities become available as more relaying nodes can be listening in different cells (i.e., frequency, SF‐offset, time‐offset). This has a direct impact on the collision‐free packet delivery ratio (PDR) metric, which improves when more listening windows are opened, at the expense of faster battery depletion. © 2022 by the authors. Licensee MDPI, Basel, Switzerland.</t>
  </si>
  <si>
    <t xml:space="preserve">R065</t>
  </si>
  <si>
    <t xml:space="preserve">Node Failure Detection on a Hierarchy-Based Energy-Efficient Routing Protocol for LoRa-Mesh</t>
  </si>
  <si>
    <t xml:space="preserve">Blum, L.; Rosa, L.L.; Dos Santos Roque, A.; De Freitas, E.P.</t>
  </si>
  <si>
    <t xml:space="preserve">2026 IEEE International Black Seas Conference on Communications and Networking, BlackSeaCom 2026</t>
  </si>
  <si>
    <t xml:space="preserve">10.1109/blackseacom69760.2026.11598298</t>
  </si>
  <si>
    <t xml:space="preserve">Low-Power Wide-Area Networks (LPWANs) based on LoRa technology are widely used in Internet of Things (IoT) applications due to their long communication range and low energy consumption. While most LoRa deployments rely on star topologies, mesh networking protocols such as the Hierarchical Balanced Energy Efficient (HBEE) protocol enable multi-hop communication, extending coverage in challenging environments. However, node failures in LoRa mesh networks can significantly degrade performance when nodes continue forwarding packets through failed parents. This work proposes a lightweight failure detection mechanism for HBEE-based LoRa mesh networks. The approach uses passive overhearing to detect missing forwarding activity and applies timeout-based strategies to identify suspected node failures. When a failure is suspected, an on-demand ping message is used to confirm node availability and prevent further transmissions through inactive nodes. The proposed mechanism was evaluated experimentally using a LoRa mesh testbed. Results show that introducing failure detection improves network reliability under failure conditions, increasing the Packet Reception Rate from 79.17% to up to 86.67% without introducing significant additional energy consumption.  © 2026 IEEE.</t>
  </si>
  <si>
    <t xml:space="preserve">R066</t>
  </si>
  <si>
    <t xml:space="preserve">LoRaWAN multi-hop uplink extension</t>
  </si>
  <si>
    <t xml:space="preserve">Dias, J.; Grilo, A.</t>
  </si>
  <si>
    <t xml:space="preserve">Procedia Computer Science</t>
  </si>
  <si>
    <t xml:space="preserve">10.1016/j.procs.2018.04.063</t>
  </si>
  <si>
    <t xml:space="preserve">The coverage of a LoRaWAN network in a city is greatly hampered by the harsh propagation environment. Sensors are sometimes placed under the ground or in places with strong electromagnetic attenuation. Also, for users who have a contract with a network operator, installing another gateway to improve coverage of blind spots is not an option. In other cases, there is no or very weak connectivity (e.g. basements). In the present work, we design and implement a multi-hop uplink solution compatible with the LoRaWAN specification, which can act as an extension to already deployed gateways. End nodes transmit data messages to intermediate nodes, which relay them to gateways by choosing routes based on a simplified version of Destination-Sequenced Distance Vector (DSDV) routing. The routing protocol was successfully implemented and was assessed using a linear and bottleneck topology, where the Packet Reception Rate (PRR) and throughput were measured. On the bottleneck topology it was observed that the PRR of each node did not significantly vary. On the linear topology we observed that the throughput and PRR did not decrease considerably with the increase of hops. © 2018 The Authors. Published by Elsevier B.V.</t>
  </si>
  <si>
    <t xml:space="preserve">R067</t>
  </si>
  <si>
    <t xml:space="preserve">Wireless IIoT network modeling, Neural Route Mapping, and delay-aware analysis</t>
  </si>
  <si>
    <t xml:space="preserve">Noorwali, A.</t>
  </si>
  <si>
    <t xml:space="preserve">Journal of Umm Al-Qura University for Engineering and Architecture</t>
  </si>
  <si>
    <t xml:space="preserve">10.1007/s43995-025-00280-4</t>
  </si>
  <si>
    <t xml:space="preserve">The rapid expansion of Saudi Arabia’s industrial has created a critical demand for reliable, delay-aware communication frameworks to ensure occupational safety, real-time emergency coordination, and data-driven decision support. Traditional cellular systems often collapse under congestion, interference, or limited spectrum availability, especially in dense ndoes zones. This paper introduces a mathematically grounded Industrial Internet of Things (IIoT) model that integrates LoRa-based mesh connectivity, Voronoi-driven spatial coverage, and a Neural Route Mapping Protocol (NRMP) designed to minimize latency and interference while optimizing throughput and network lifetime. The proposed model unifies analytical design by combining (i) signal-to-interference-plus-noise ratio (SINR) constraints, (ii) queueing-based access delay modeling using M/M/1 and PCF/DCF formulations, and (iii) multi-objective optimization for energy-aware routing. Closed-form delay bounds are derived under interference and traffic load constraints, forming a theoretical foundation for delay-tolerant yet safety-critical IIoT systems. Simulation-based validation demonstrates that the NRMP model can significantly outperform standard routing schemes such as Dynamic Source Routing (DSR) in terms of throughput, energy efficiency, and latency [1, 2, 3–4]. © The Author(s) 2025.</t>
  </si>
  <si>
    <t xml:space="preserve">R068</t>
  </si>
  <si>
    <t xml:space="preserve">IoT Station for Health Monitoring in Underground Mining Using Compressive Sensing Architecture</t>
  </si>
  <si>
    <t xml:space="preserve">Wahidah, I.; Shiddieqy, H.A.; Wafi, A.; Ramli, A.P.; Noor, B.R.; Amri, Y.</t>
  </si>
  <si>
    <t xml:space="preserve">International Conference on Artificial Intelligence in Information and Communication, ICAIIC</t>
  </si>
  <si>
    <t xml:space="preserve">10.1109/icaiic64266.2025.10920859</t>
  </si>
  <si>
    <t xml:space="preserve">This study addresses health and safety risks in the underground mining by developing an Internet of Things (IoT) Station using compressive sensing architecture to monitor vital parameters such as heart rate, body temperature, carbon monoxide (CO) levels, and environmental temperature in real-time manner. Data transmission is facilitated through a LoRa wireless network utilizing a star multihop topology, which allows sensor modules to first send data to a central LoRa transceiver before relaying it to a main base station. The communication module extends coverage and enhances data reliability, making it suitable for challenging underground environments. Simulation and testing demonstrated effective communication up to 1.6 km in open areas and 1 km in closed areas, with stable data transmission. This multihop approach reduces accident risks and enhances safety and productivity by ensuring comprehensive monitoring across extended areas. The Compressive Sensing architecture improves bandwidth and energy efficiency by reducing the data volume by up to 50% without losing important information. In addition, the system employs thresholding to classify conditions into 'safe,' 'alert,' and 'danger' categories based on specific ranges for humidity, CO levels, temperature, and heart rate. © 2025 IEEE.</t>
  </si>
  <si>
    <t xml:space="preserve">R069</t>
  </si>
  <si>
    <t xml:space="preserve">LTM-LoRaWAN: A Multi-Hop Communication System for LoRaWAN</t>
  </si>
  <si>
    <t xml:space="preserve">Al mojamed, M.</t>
  </si>
  <si>
    <t xml:space="preserve">10.3390/electronics12204225</t>
  </si>
  <si>
    <t xml:space="preserve">Coverage limitation due to signal attenuation is one of the main challenges facing single-hop LoRaWAN when deployed in IoT applications that require low power consumption and operate over a wide area network. The challenge can be figured out using the dense deployment of typical LoRaWAN gateways to ensure devices can transfer their data to the network server successfully. However, this is considered a costly path because of the requirement of deploying a larger number of gateways. To cope with this, a multi-hop communication strategy can be utilized to extend the coverage of employed LoRaWAN networks, eliminating the need for dense gateway deployment. Thus, this paper proposes a Listen-To-Talk-based Multi-hop LoRaWAN LTM-LoRaWAN, a multi-hop relaying system for a wide area LoRaWAN network. It supports out-of-range devices to deliver their traffic to the gateway without using complex routing mechanisms or routing topology construction. Moreover, the proposed system is dynamic and does not require any special entities or assign specific tasks to specific devices. The paper provides a detailed description of the design and configuration of the proposed LTM-LoRaWAN. Using simulation, the feasibility of the proposed system was demonstrated. The evaluation result showed that the proposed system outperformed one-hop LoRaWAN and achieved better reliability in traffic delivery. © 2023 by the author.</t>
  </si>
  <si>
    <t xml:space="preserve">R070</t>
  </si>
  <si>
    <t xml:space="preserve">Multi-Hop Routing Protocols for Oil Pipeline Leak Detection Systems</t>
  </si>
  <si>
    <t xml:space="preserve">Alhomyani, H.; Fadel, M.; Dimitriou, N.; Bakhsh, H.; Aldabbagh, G.; Alkhuraiji, S.</t>
  </si>
  <si>
    <t xml:space="preserve">10.3390/electronics11132078</t>
  </si>
  <si>
    <t xml:space="preserve">In recent years, various applications have emerged requiring linear topologies of wireless sensor networks (WSN). Such topologies are used in pipeline (water/oil/gas) monitoring systems. The linear structure has a significant impact on network performance in terms of delay, throughput, and power consumption. Regarding communication efficiency, routing protocols play a critical role, considering the special requirements of linear topology and energy resources. Therefore, the chal-lenge is to design effective routing protocols that can address the diverse requirements of the monitoring system. In this paper, we present various wireless communication technologies and existing leak detection systems. We review different routing protocols focusing on multi-hop hierarchical protocols, highlighting the limitations and design issues related to packet routing in linear pipeline leak detection networks. Additionally, we present a LoRa multi-hop model for monitoring above-ground oil pipelines. A set of model parameters are identified such as the distance between sensors. In addition, the paper determines some calculations to estimate traffic congestion and energy con-sumption. Several alternative model designs are investigated. The model is evaluated using different multi-hop communication scenarios, and we compare the data rate and energy to provide an energy-efficient and low-cost leak detection system. © 2022 by the authors. Licensee MDPI, Basel, Switzerland.</t>
  </si>
  <si>
    <t xml:space="preserve">R071</t>
  </si>
  <si>
    <t xml:space="preserve">A Self-Healing Mesh Network without Global-Time Synchronization</t>
  </si>
  <si>
    <t xml:space="preserve">Sahin, A.; Arslan, H.</t>
  </si>
  <si>
    <t xml:space="preserve">IEEE International Conference on Communications</t>
  </si>
  <si>
    <t xml:space="preserve">10.1109/icc51166.2024.10622330</t>
  </si>
  <si>
    <t xml:space="preserve">In this paper, we propose a slot-based protocol that does not rely on global-time synchronization to achieve a self- healing mesh network. With the proposed protocol, each node synchronizes with its neighbors locally by adjusting its time to transmit based on the reception instant of a decoded beacon signal. Also, it determines its slots without any coordinator to avoid collisions. Finally, to communicate the messages over the mesh network, it identifies the forwarding nodes on the shortest path without knowing the entire communication graph. We show that the proposed protocol can effectively resolve collisions over time while enabling nodes to synchronize with each other in a distributed manner. We numerically analyze the performance of the proposed protocol for different configurations under a realistic channel model considering asymmetrical links. We also implement the proposed method in practice with Long-Range (LoRa) devices. We demonstrate that the nodes adapt themselves to changes in the network and deliver a message from a sensing node to a reference node via multi-hop routing. © 2024 IEEE.</t>
  </si>
  <si>
    <t xml:space="preserve">R072</t>
  </si>
  <si>
    <t xml:space="preserve">PiTFiT: Payload-Level Bit-Flip Attacks on Stateless IoT Broadcasting Protocols</t>
  </si>
  <si>
    <t xml:space="preserve">Ahmed, S.T.; Nadella, Y.S.; Kulkarni, A.R.; Annamalai, A.; Chouikha, M.</t>
  </si>
  <si>
    <t xml:space="preserve">Proceedings of the IEEE National Aerospace Electronics Conference, NAECON</t>
  </si>
  <si>
    <t xml:space="preserve">10.1109/naecon65708.2025.11235480</t>
  </si>
  <si>
    <t xml:space="preserve">Stateless broadcasting protocols in IoT networks are vulnerable to payload-level bit-flipping attacks. We present two attack schemes: physical-layer corruption detected by CRC and network-layer corruption that bypasses CRC. Using a LoRa mesh testbed, we show how a compromised node silently propagates false data, revealing critical vulnerabilities and motivating lightweight integrity defenses.  © 2025 IEEE.</t>
  </si>
  <si>
    <t xml:space="preserve">R073</t>
  </si>
  <si>
    <t xml:space="preserve">Introducing Smart Water Meters in Bangladesh: Enhancing AI-Based Water Distribution, Control and Optimization</t>
  </si>
  <si>
    <t xml:space="preserve">Mahin, Md.I.S.; Arefin, Md.S.; Bepary, R.</t>
  </si>
  <si>
    <t xml:space="preserve">2025 28th International Conference on Computer and Information Technology, ICCIT 2025</t>
  </si>
  <si>
    <t xml:space="preserve">10.1109/iccit68739.2025.11491671</t>
  </si>
  <si>
    <t xml:space="preserve">Bangladesh's water utilities face severe challenges from outdated analog metering, including high water losses, revenue shortfalls, and inequitable distribution. This paper presents a smart water-metering system that leverages Internet of Things (IoT) sensors and artificial intelligence to modernize water-distribution management. The proposed solution enables real-time monitoring of water usage and quality via IoT-enabled flow and water-quality sensors, delivering instantaneous data to utilities and consumers. A machine learning anomaly detection module (Isolation Forest) identifies leaks, pipe bursts, and unauthorized consumption by flagging outlier usage patterns. To ensure reliable communication under diverse infrastructural conditions, the system supports multi-mode data transmission Wi-Fi, GSM cellular, LoRa long-range radio, Bluetooth mesh relay, and Ethernet. A smart billing platform with web and mobile interfaces automates meter reading, billing, and payment through digital wallets, improving transparency and convenience. The hardware is engineered for uninterrupted operation during loadshedding and power outages using a battery backup design. We evaluate monitoring accuracy, anomaly detection performance, and communication reliability; results demonstrate effective realtime usage tracking, timely leak/theft detection, and improved billing efficiency. © 2025 IEEE.</t>
  </si>
  <si>
    <t xml:space="preserve">R074</t>
  </si>
  <si>
    <t xml:space="preserve">Enhancing energy efficiency and QoS in Q-learning-based small-world WSNs</t>
  </si>
  <si>
    <t xml:space="preserve">Zhao, Y.; Huang, L.; Ren, M.; Shi, H.</t>
  </si>
  <si>
    <t xml:space="preserve">Ad Hoc Networks</t>
  </si>
  <si>
    <t xml:space="preserve">10.1016/j.adhoc.2025.104123</t>
  </si>
  <si>
    <t xml:space="preserve">In a wireless sensor network (WSN), achieving efficient data transmission while extending network lifetime remains a critical issue. Sensor nodes may fail due to energy depletion during mass data transmission, which results in frequent changes in the network topology. The frequent topology changes not only increase the complexity of network management and maintenance, but also severely impair both energy efficiency and quality-of-service (QoS). To address these challenges, in this paper, we construct a small-world WSN (SW-WSN) and address its joint optimization problem of energy efficiency and QoS. In the constructed SW-WSN, long-range (LoRa) links are used to replace some of the conventional links between sensor nodes as well as between nodes and the gateway, and a small-world model is introduced to reduce the intermediate hop count for data transmission. A Q-learning-based adaptive link allocation algorithm is proposed to map all conventional and LoRa links to state space and action space respectively and learn to form state–action pairs through training, which determines an optimal link replacement strategy under different network states and ultimately constructs a self-optimizing network architecture SW-WSN. Then, considering the network topology, link capacity, delay tolerance, and node energy of SW-WSN, the joint optimization problem of energy efficiency and QoS is formulated as an instance of linear programming (LP) with the objective of maximizing energy efficiency while ensuring QoS, and a heuristic algorithm is further designed to obtain the optimal solution. As shown by the simulation results, the Q-learning-based SW-WSN exhibits excellent learning capability and convergence stability across different network scales, successfully achieving a relatively ideal balance between energy efficiency and QoS. The Q-learning-based SW-WSN demonstrates substantial improvements in both energy efficiency (alive or dead devices, and network residual energy) and QoS (average transmission delay, data throughput, and bandwidth utilization) compared with the reinforcement learning (RL)-based routing, low-energy adaptive clustering hierarchy (LEACH), conventional small-world characteristics (SWC), multihop data transmission, and direct data transmission methods. © 2025 Elsevier B.V. All rights are reserved, including those for text and data mining, AI training, and similar technologies.</t>
  </si>
  <si>
    <t xml:space="preserve">R075</t>
  </si>
  <si>
    <t xml:space="preserve">Multi-hop communication protocol for LoRa with software-defined networking extension</t>
  </si>
  <si>
    <t xml:space="preserve">Farooq, M.O.</t>
  </si>
  <si>
    <t xml:space="preserve">Internet of Things (Netherlands)</t>
  </si>
  <si>
    <t xml:space="preserve">10.1016/j.iot.2021.100379</t>
  </si>
  <si>
    <t xml:space="preserve">Long Range (LoRa) is a leading low-power wide-area networking technology, and LoRaWAN is the open MAC layer specification for LoRa technology. LoRaWAN operates in a star network topology, thus LoRaWAN forms single-hop network. LoRa technology allows customization of its PHY layer transmission parameters, such as bandwidth, spreading factor, transmission power, and coding rate, therefore long coverage can be achieved by using a lower bandwidth. However, a single-hop LoRaWAN network cannot achieve high data rate and long coverage simultaneous. To simultaneously achieve high data rate and long coverage, the LoRa PHY layer setting that yields the fastest data rate can be used, however it reduces coverage. To makeup for the reduced coverage multi-hop communication can be used. To enable multi-hop communication here a routing protocol for LoRa-based networks is presented. Moreover, to enable traffic engineering in LoRa-based networks, such as traffic load balancing a software-defined networking (SDN) extension for the protocol is also presented. Performance evaluation has shown that the proposed protocol and its SDN-based extension can match the coverage of LoRa PHY layer setting that offers maximum coverage at a relatively very high data rate and lower energy consumption. The protocol demonstrates up to 5 times higher packet reception ratio, and 63% lower energy consumption compared to the LoRa PHY layer setting that offers maximum coverage and reliability. Moreover, the protocols also outperform an existing state-of-the-are routing protocol for low-power wireless networks. © 2021 Elsevier B.V.</t>
  </si>
  <si>
    <t xml:space="preserve">R076</t>
  </si>
  <si>
    <t xml:space="preserve">New Field Server Addition Method for Low-Price Rice Cultivation Management System</t>
  </si>
  <si>
    <t xml:space="preserve">Ishii, S.; Tatsumi, S.; Tanaka, M.S.; Okumura, Y.; Kochi, T.</t>
  </si>
  <si>
    <t xml:space="preserve">2020 2nd International Conference on Computer Communication and the Internet, ICCCI 2020</t>
  </si>
  <si>
    <t xml:space="preserve">10.1109/iccci49374.2020.9145992</t>
  </si>
  <si>
    <t xml:space="preserve">We are developing a rice cultivation management systems using a field server to reduce the workload of farmers. The feature of our field server is a reasonable price. In order to achieve the reasonable price, the accuracy of time synchronization is sacrificed. At present, it is possible to manage environmental data for crops and fields using sensors. However, there are some points to be improved in the current field server. The first is transmission scheduling in advance is had to set up. The second is that field servers cannot be added during the operation. This paper describes a method to notify all nodes of additional field server information and scheduling to solve the above problem. Simultaneous transmission type flooding method is described in detail. We will also report the experimental results. This protocol is robust for the rice cultivation management systems because the field server is stable. Therefore, it meets farmers' expectation to utilize a reasonable field server.  © 2020 IEEE.</t>
  </si>
  <si>
    <t xml:space="preserve">R077</t>
  </si>
  <si>
    <t xml:space="preserve">Efficient energy management for IoT applications in smart mesh networks for hybrid renewable generation</t>
  </si>
  <si>
    <t xml:space="preserve">Book Chapter</t>
  </si>
  <si>
    <t xml:space="preserve">Ngo, T.D.; Pham, V.K.; Ferrero, F.; Le Thanh, N.</t>
  </si>
  <si>
    <t xml:space="preserve">Hybrid Energy Systems: Planning, operation and optimization</t>
  </si>
  <si>
    <t xml:space="preserve">This chapter introduces an innovative Internet of Things (IoT) system designed for efficient energy management in smart mesh networks, leveraging hybrid renewable energy sources for environmental monitoring. The proposed system, an energy-efficient solution for WSNs using LoRa Mesh technology integrated with the Ad-hoc On-Demand Distance Vector (AODV) routing algorithm, addresses the challenges of energy consumption and connectivity in remote areas with unstable power supplies and harsh conditions. Using solar power supplemented by battery backup, the system ensures reliable data transmission while minimizing energy consumption during severe weather, with devices capable of functioning for up to a month solely on battery backup. Field experiments in Vietnam highlight its effectiveness, showcasing improved energy efficiency and extended operational range, and demonstrate that the proposed system achieves a packet delivery success rate (DSR) of 95%–99%, reduces packet loss to 1%–5%. The solution not only enhances reliability in remote areas without 3G/4G coverage but also supports sustainable IoT applications in hybrid renewable energy systems. Copyright © The Institution of Engineering and Technology and its licensors 2026 First published 2025.</t>
  </si>
  <si>
    <t xml:space="preserve">R078</t>
  </si>
  <si>
    <t xml:space="preserve">Design and implementation of discharge monitoring system of parallel gap device based on LoRa technology</t>
  </si>
  <si>
    <t xml:space="preserve">Yu, K.; Fang, Y.; Wang, Z.; Bai, B.; Xu, Y.; Ma, Z.</t>
  </si>
  <si>
    <t xml:space="preserve">2020 IEEE 4th Conference on Energy Internet and Energy System Integration: Connecting the Grids Towards a Low-Carbon High-Efficiency Energy System, EI2 2020</t>
  </si>
  <si>
    <t xml:space="preserve">10.1109/ei250167.2020.9347316</t>
  </si>
  <si>
    <t xml:space="preserve">In view of the fact that the current online monitoring device for lightning arresters cannot effectively monitor and judge the shortcomings of subsequent power frequency current technologies and the influencing factors such as communication blind zone in special environments such as remote mountain areas, a parallel gap discharge monitoring system based on LoRa technology is proposed. The system is based on the MSP430 or STM32 microcontroller and it is made up of two types of sensor node devices (master node device and child node device) and background receiving and processing platform. The system deploys the corresponding sensor node devices on the spot to realize the monitoring and transmission of the sensor data. The mesh network topology is used to carry out the relay transmission of the monitoring data in the ad hoc network and upload it to the corresponding background for analysis and processing. The system provides the data for quickly finding out the position of the action pole and tower of the parallel clearance device and the time of flashover. © 2020 IEEE.</t>
  </si>
  <si>
    <t xml:space="preserve">R079</t>
  </si>
  <si>
    <t xml:space="preserve">Multihop gateway-to-gateway communication protocol for lora networks</t>
  </si>
  <si>
    <t xml:space="preserve">Dwijaksara, M.H.; Sook Jeon, W.; Jeong, D.G.</t>
  </si>
  <si>
    <t xml:space="preserve">10.1109/icit.2019.8755136</t>
  </si>
  <si>
    <t xml:space="preserve">The long range wide area network (LoRaWAN) forms a star topology where end device (ED) sends data to network server (NS) through gateway (GW). It requires a GW to be connected to the NS through an IP network as the backhaul link. However, when a LoRaWAN is deployed in a remote area, such connection may not be possible. Thus, it is important that the GW can reach the NS through multihop GW-to-GW (G2G) communication using LoRa technology. To realize it, we propose a multihop G2G communication protocol for LoRa networks. The proposed protocol includes both routing protocol and channel access scheme. A packet aggregation feature is also added for improving the transmission efficiency of GW. The simulation results demonstrate that the proposed protocol successfully enables multihop G2G communication for LoRa networks with reasonably good performance. © 2019 IEEE.</t>
  </si>
  <si>
    <t xml:space="preserve">R080</t>
  </si>
  <si>
    <t xml:space="preserve">Energy aware and quality of service routing mechanism for hybrid internet of things network</t>
  </si>
  <si>
    <t xml:space="preserve">Diratie, E.D.; Sharma, D.P.; Al Agha, K.</t>
  </si>
  <si>
    <t xml:space="preserve">Computers</t>
  </si>
  <si>
    <t xml:space="preserve">10.3390/computers10080093</t>
  </si>
  <si>
    <t xml:space="preserve">Wireless Multimedia Sensor Networks (WMSNs) based on IEEE 802.11 mesh networks are effective and suitable solutions for video surveillance systems in detecting intrusions in selected monitored areas. The IEEE 802.11-based WMSNs offer high bit rate video transmissions but are challenged by energy inefficiency issues and concerns. To resolve the energy inefficiency challenges, the salient research studies proposed a hybrid architecture. This newly evolved architecture is based on the integration of IEEE 802.11-based mesh WMSNs along with the LoRa network to form an autonomous and high bitrate, energy-efficient video surveillance system. This paper proposes an energy-aware and Quality of Service (QoS) routing mechanism for mesh-connected visual sensor nodes in a hybrid Internet of Things (IoT) network. The routing algorithm allows routing a set of video streams with guaranteed bandwidth and limited delay using as few visual sensor nodes as possible in the network. The remaining idle visual sensor nodes can be turned off completely, and thus it can significantly minimize the overall energy consumption of the network. The proposed algorithm is numerically simulated, and the results show that the proposed approach can help in saving a significant amount of energy consumption while guaranteeing bandwidth and limited delay. © 2021 by the authors. Licensee MDPI, Basel, Switzerland.</t>
  </si>
  <si>
    <t xml:space="preserve">R081</t>
  </si>
  <si>
    <t xml:space="preserve">Enhancing Quality-of-Service in LoRa Low-Power Wide-Area Networks via Multi-Hop Optimized Radio Resource Management</t>
  </si>
  <si>
    <t xml:space="preserve">Jasim Alzubaidi, L.H.; Sunil, G.; Praveena, H.D.; Sathishkumar, N.; Manjula, B.M.</t>
  </si>
  <si>
    <t xml:space="preserve">2nd International Conference on Integrated Circuits and Communication Systems, ICICACS 2024</t>
  </si>
  <si>
    <t xml:space="preserve">10.1109/icicacs60521.2024.10498522</t>
  </si>
  <si>
    <t xml:space="preserve">In transport systems in particular, LoRa wireless communication has become an essential technology for intelligent critical infrastructures. Optimizing transmission policy parameters, including carrier frequency, bandwidth, coding rate, and spreading factor, is crucial for achieving excellent Quality of Service (QoS) for LoRa systems; however, current methods have not fully optimized all LoRa parameters. In order to efficiently share information, the proposed Multiobjective Q Learning based LoRa (MQ-LoRa) uses a hybrid topology consisting of a cluster root rotating tree, wherein IoT nodes adhere to a cluster topology inspired by cellular tissues, while gateways follow a tree topology. For cluster construction, a membrane-inspired clustering algorithm is created, and influence scores are used to determine which header node is best. The study presents Data QoS Ranking for IoT nodes, which uses the new LoRa frame structure field QoS Ranking (QRank) to classify data into priority and non-priority categories. The Soft Actor Critic (SAC) fast deep reinforcement learning model is used for optimal transmission policy enforcement, taking into account signal-to-interference-plus-noise ratio, QRank, and other environmental characteristics. After that, the transmission policy is optimized taking carrier frequency, bandwidth, coding rate, and spreading factor into account. Furthermore, a multi-hop routing method with concurrent optimization that uses shuffling shepherd and mayfly optimization rates routes according to fitness standards. A multi-weighted sum approach is used to establish a weighted duty cycle in LoRa IoT networks to minimize resource inefficiency and loss of information. Using the NS3.26 LoRaWAN module, performance evaluation measures energy consumption, latency, throughput, packet receipt ratio, and packet rejection ratio, among other parameters. Comparison with popular LoRa techniques shows that the suggested MQ-LoRa performs better energy consumption of 56 mJ than exisitng Reinforcement Learning based LoRA, according to experimental results.  © 2024 IEEE.</t>
  </si>
  <si>
    <t xml:space="preserve">R082</t>
  </si>
  <si>
    <t xml:space="preserve">Dissemination and Multi-hop Dissemination Based-on LoRaWAN for Emergency Communication in Low Traffic Vehicular Ad Hoc Networks</t>
  </si>
  <si>
    <t xml:space="preserve">Harshavardhan Reddy, B.; Gunasekaran, M.</t>
  </si>
  <si>
    <t xml:space="preserve">Proceedings of 3rd International Conference on Intelligent Engineering and Management, ICIEM 2022</t>
  </si>
  <si>
    <t xml:space="preserve">10.1109/iciem54221.2022.9853130</t>
  </si>
  <si>
    <t xml:space="preserve">To improve the Packet delivery ratio (PDR) in vehicular Ad Hoc network based on LoRaWAN using cluster-based multi-hop dissemination technique with location information and clustering in low traffic. Materials and Methods: Clustering of nodes with location aid in Vehicular Ad hoc Network is proposed to improve the PDR in low traffic scenarios. Based on the proximity of the nodes from the current node, nodes are clustered and a cluster head is selected for transmission which improves the reliability of the system. This research adopts a novel location aided routing approach of location aided routing for efficient communication. Sample size determined is 22 with actual power of 0.9642. Results: It is observed that proposed cluster-based multi-hop dissemination is 0.36% better when compared to conventional multi-hop dissemination in low traffic in terms of PDR. The statistical significance of two techniques observed is P &lt; 0.001 in the independent sample T test. Conclusion: Results have confirmed that the proposed Cluster-based multi-hop dissemination in location aided vehicular ad hoc network based on LoRaWAN doesn't show significance greater than 0.36% better PDR using the location information and clustering of nodes in low traffic.  © 2022 IEEE.</t>
  </si>
  <si>
    <t xml:space="preserve">R083</t>
  </si>
  <si>
    <t xml:space="preserve">Adapting LoRaWAN Relay Specification for Battery-Sustainable Subterranean LoRa Mesh Networks</t>
  </si>
  <si>
    <t xml:space="preserve">Udugampola, N.; Ai, X.; Li, B.; Gong, H.; Seneviratne, A.</t>
  </si>
  <si>
    <t xml:space="preserve">Proceedings - International Conference on Computer Communications and Networks, ICCCN</t>
  </si>
  <si>
    <t xml:space="preserve">10.1109/icccn69946.2026.11662683</t>
  </si>
  <si>
    <t xml:space="preserve">Traditional IoT technologies such as LoRaWAN, Sigfox, and NB-IoT rely on single-hop star topologies, requiring many gateways to cover large areas. In subterranean environments where cellular coverage and grid power may be unavailable, such deployments are often impractical. This paper presents a novel LoRa mesh network designed for such environments, capable of operating for years on battery power. While the recent LoRaWAN relay specification supports two-hop communication via an intermediate relay between an end device and a gateway, our work is the first to extend this specification for on-demand multi-hop communication across multiple LoRa repeaters, adapting its sleep mechanism. Our proposed sleep mechanism combines an on-demand cascaded repeater wakeup process with a repeater synchronization strategy, minimizing the power consumption. Moreover, our network architecture integrates existing packet routing and collision recovery mechanisms and is highly scalable and general-purpose, enabling a wide range of applications. Network simulations demonstrate that the proposed design operates reliably, sustaining years on battery power, while the repeater synchronization strategy further reduces average energy consumption by up to 50%. [Code: https://bit.ly/4nALuNX]  © 2026 IEEE.</t>
  </si>
  <si>
    <t xml:space="preserve">R084</t>
  </si>
  <si>
    <t xml:space="preserve">Rapid and Resilient LoRa Leap: A Novel Multi-Hop Architecture for Decentralised Earthquake Early Warning Systems</t>
  </si>
  <si>
    <t xml:space="preserve">Ranasinghe, V.; Udara, N.; Mathotaarachchi, M.; Thenuwara, T.; Dias, D.; Prasanna, R.; Edirisinghe, S.; Gayan, S.; Holde…</t>
  </si>
  <si>
    <t xml:space="preserve">10.3390/s24185960</t>
  </si>
  <si>
    <t xml:space="preserve">We introduce a novel LoRa-based multi-hop communication architecture as an alternative to the public internet for earthquake early warning (EEW). We examine its effectiveness in generating a meaningful warning window for the New Zealand-based decentralised EEW sensor network implemented by the CRISiSLab operating with the adapted Propagation of Local Undamped Motion (PLUM)-based earthquake detection and node-level data processing. LoRa, popular for low-power, long-range applications, has the disadvantage of long transmission time for time-critical tasks like EEW. Our network overcomes this limitation by broadcasting EEWs via multiple short hops with a low spreading factor (SF). The network includes end nodes that generate warnings and relay nodes that broadcast them. Benchmarking with simulations against CRISiSLab’s EEW system performance with internet connectivity shows that an SF of 8 can disseminate warnings across all the sensors in a 30 km urban area within 2.4 s. This approach is also resilient, with the availability of multiple routes for a message to travel. Our LoRa-based system achieves a 1–6 s warning window, slightly behind the 1.5–6.75 s of the internet-based performance of CRISiSLab’s system. Nevertheless, our novel network is effective for timely mental preparation, simple protective actions, and automation. Experiments with Lilygo LoRa32 prototype devices are presented as a practical demonstration. © 2024 by the authors.</t>
  </si>
  <si>
    <t xml:space="preserve">R085</t>
  </si>
  <si>
    <t xml:space="preserve">A Study of Scalable Mesh Algorithms for Large-scale Aquaculture using LoRa</t>
  </si>
  <si>
    <t xml:space="preserve">Hern Ryan, S.Y.; Xiang, L.J.; Su Wee, E.T.; Yiang, L.K.; Qiao Yu, S.L.; Abbas, M.F.B.</t>
  </si>
  <si>
    <t xml:space="preserve">10.1109/apwcs61586.2024.10679328</t>
  </si>
  <si>
    <t xml:space="preserve">COVID-19 significantly impacted the fishing industries, affecting fish supply, demand, distribution, labour and production. The aquaculture industry needs to monitor water quality manually, which is time-consuming and costly. This paper explores mesh algorithms such as DSDV (Destination Sequenced Distance Vector) and AODV (Ad-hoc On-Demand Distance Vector Routing) on IoT for remote monitoring of aquaculture farms. Comparisons of routing algorithms analysis were made regarding reliability and power consumption. The AODV mesh algorithm on LoRa has demonstrated better network efficiencies and lower power capabilities for long-range data gathering across large areas during daily operations. © 2024 IEEE.</t>
  </si>
  <si>
    <t xml:space="preserve">R086</t>
  </si>
  <si>
    <t xml:space="preserve">NETRA: A Decentralized LoRa-MANET Ecosystem for AI-Driven Collaborative Reconnaissance in GPS-Denied Environments</t>
  </si>
  <si>
    <t xml:space="preserve">Sinkar, A.; Shetty, V.; Shinde, A.</t>
  </si>
  <si>
    <t xml:space="preserve">17th International Conference on Advances in Computing, Control, and Telecommunication Technologies, ACT 2026</t>
  </si>
  <si>
    <t xml:space="preserve">Modern military operations frequently encounter communication blackouts and GNSS-denied environments caused by electronic warfare and infrastructure destruction. This paper proposes NETRA (Networked Emergency Tactical Radio Awareness), an integrated helmet-mounted ecosystem designed for resilient indigenous soldier-level situational awareness. NETRA acts as a fallback communication system. The system fuses three core capabilities. First, a Hybrid Positioning Subsystem combining GPS for macro-localization and Ultra-Wideband (UWB) for less than 30 cm intra-squad relative tracking in jammed environments. Second, an Edge-AI Reconnaissance engine utilizing quantized YOLO-based models on ESP32 hardware to detect human, weapon, and tank threats with less than 1 second latency. Third, an Encrypted LoRa-based Mobile Ad Hoc Network (MANET) for multi-hop tactical data relay. By transmitting 16-byte metadata packets instead of raw video, NETRA bypasses LoRa’s bandwidth constraints while maintaining end-to-end AES-128 security. Experimental prototyping demonstrates a 1 km Non-Line-of-Sight (NLOS) range, 8.7 km Line-of-Sight (LOS) range, and an energy-aware operational endurance of 13.3 hours. This architecture establishes a persistent shared knowledge bank, delivering critical intelligence via an eyes-free, in-ear audio interface to enhance decision-making in infrastructure-denied tactical theaters. © Grenze Scientific Society, 2026.</t>
  </si>
  <si>
    <t xml:space="preserve">R087</t>
  </si>
  <si>
    <t xml:space="preserve">IoT multi-hop facilities via LORA modulation and LORAWAN protocol within thin linear networks</t>
  </si>
  <si>
    <t xml:space="preserve">Basili, F.; Parrino, S.; Peruzzi, G.; Pozzebon, A.</t>
  </si>
  <si>
    <t xml:space="preserve">2021 IEEE Sensors Applications Symposium, SAS 2021 - Proceedings</t>
  </si>
  <si>
    <t xml:space="preserve">10.1109/sas51076.2021.9530117</t>
  </si>
  <si>
    <t xml:space="preserve">This paper proposes a novel network architecture integrating a multi-hop Long Range (LoRa)-based thin linear network within a LoRa Wide Area Network (LoRaWAN) infrastructure, with the aim of proposing linear distributed measurement systems forwarding their collected data to a LoRaWAN server by means of a hybrid LoRa-LoRaWAN node. Such device is able to collect LoRa packets coming from the linear network and to encapsulate them in LoRaWAN packets transmitted to the remote server by means of standard LoRaWAN Gateways. The operation of the nodes is regulated by an ad-hoc routing protocol which aims at minimizing their active period, in order to reduce their power consumption increasing the overall system lifetime. Similarly, the synchronization of the nodes aims at increasing the robustness of the network reducing at minimum packet losses. The effectiveness of the proposed network architecture in terms of successful packet deliveries and reduction of active time is tested in different configurations, exploiting 2-node, 3-node and 4-node chains as well as adopting increasingly larger cycle periods. Results show that the proposed configuration ensures a noteworthy robustness in terms of packets delivery while maintaining the duty-cycling at levels that may guarantee long life times and autonomous operation to the overall infrastructure. © 2021 IEEE.</t>
  </si>
  <si>
    <t xml:space="preserve">R088</t>
  </si>
  <si>
    <t xml:space="preserve">Multi-Hop and Mesh for LoRa Networks: Recent Advancements, Issues, and Recommended Applications</t>
  </si>
  <si>
    <t xml:space="preserve">Wong, A.W.-L.; Goh, S.L.; Hasan, M.K.; Fattah, S.</t>
  </si>
  <si>
    <t xml:space="preserve">ACM Computing Surveys</t>
  </si>
  <si>
    <t xml:space="preserve">10.1145/3638241</t>
  </si>
  <si>
    <t xml:space="preserve">A comprehensive review is presented on the latest approaches to solutions focusing on multi-hop and mesh LoRa networks through the evaluation of simulations and real-world experiments, based on papers published between 2015 and 2023. The approaches are systematically classified into four (4) aspects: energy awareness, concurrent access and duty cycle regulations, routing protocols, and security. The first aspect encompasses parameter selection, distance, and clustering. The second aspect focuses on network segregation and time synchronisation. The third aspect covers proactive, reactive, and hybrid routing protocols. The aspect of security includes privacy and Denial-of-Service (DoS). Findings show a consensus that multi-hop networks and adherence to radio duty cycle are able to lower average power consumption. Concurrent access method can improve network performance, but more research is needed due to different conclusions. Reactive protocols have a slight advantage over proactive protocols in terms of node deployment scalability and lower power consumption due to less frequent routing table updates. Hybrid protocols are only beneficial in specific topology deployments. Security is still a major concern for LoRa networks, particularly on attacks such as Man-In-The-Middle (MITM), spoofing, wormholes, flooding, packet replay, and information disclosure. The upcoming trend of implementing machine learning algorithms to multi-hop and mesh LoRa networks opens up a wide range of possibilities, ranging from airspace efficiency, efficient route selection, and improving data throughput. A detailed discussion of the aspects' issues and recommended industry applications that will benefit from multi-hop and mesh LoRa networks are also provided. © 2024 Copyright held by the owner/author(s). Publication rights licensed to ACM.</t>
  </si>
  <si>
    <t xml:space="preserve">R089</t>
  </si>
  <si>
    <t xml:space="preserve">A Routing Protocol for LoRA Mesh Networks</t>
  </si>
  <si>
    <t xml:space="preserve">Lundell, D.; Hedberg, A.; Nyberg, C.; Fitzgerald, E.</t>
  </si>
  <si>
    <t xml:space="preserve">19th IEEE International Symposium on a World of Wireless, Mobile and Multimedia Networks, WoWMoM 2018</t>
  </si>
  <si>
    <t xml:space="preserve">10.1109/wowmom.2018.8449743</t>
  </si>
  <si>
    <t xml:space="preserve">A limitation of current LoRa networks is their single-hop nature. This causes difficulties in areas with poor Internet access, such as remote rural areas, or challenging radio environments, for example in metropolitan areas, as the LoRa gateway must be placed at a location with backhaul access to the network server, but must nonetheless be reachable by all end devices. To facilitate these applications, we present a new routing protocol to enable mesh networking with LoRa, allowing for multihop networking between gateways to extend coverage. Our protocol is tailored specifically to the requirements of LoRa networks. We have developed a proof-of-concept implementation of the protocol and have shown its effectiveness in both laboratory tests and a field trial in a real-world LoRa deployment. © 2018 IEEE.</t>
  </si>
  <si>
    <t xml:space="preserve">R090</t>
  </si>
  <si>
    <t xml:space="preserve">A Robust Multi-Hop LoRa-Based Emergency Communication System for Maritime Safety</t>
  </si>
  <si>
    <t xml:space="preserve">Koppaka, A.; Valsan, V.</t>
  </si>
  <si>
    <t xml:space="preserve">2025 Control Instrumentation System Conference, CISCON 2025</t>
  </si>
  <si>
    <t xml:space="preserve">10.1109/ciscon66933.2025.11337728</t>
  </si>
  <si>
    <t xml:space="preserve">Maritime safety is a major concern for fishermen who operate near international borders, as unintentional crossings can lead to legal consequences and security risks. Present systems that utilise GSM-based tracking and LoRa WAN networks are significantly limited in deep-sea environments due to their low coverage and their dependence on centralised gateways. We propose a LoRa-based multi-hop mesh networking system that offers fishermen emergency distress signalling and real-time border notifications in order to overcome these difficulties. In order to combine power efficiency with prompt emergency response, the system incorporates GPS-based geofencing with a Point-in-Polygon (PIP) method, a 2-kilometer safety zone for early warning notifications, and an adaptive transmission mechanism. Our proposed LoRa mesh network uses multi-hop relaying to extend communication up to 140 kilometres in real-world marine environments, in contrast to standard LoRa WAN, which has a very restricted range. Experimental evaluations show that our approach greatly increases reliability and range, ensuring distress messages reach the coast. The proposed prototype model lowers socioeconomic risks, improves safety monitoring, and offers a long-lasting, reasonably priced marine security system by proactively avoiding unintentional crossings, thereby enhancing United Nations Sustainable Development Goals 9 and 11. © 2025 IEEE.</t>
  </si>
  <si>
    <t xml:space="preserve">R091</t>
  </si>
  <si>
    <t xml:space="preserve">A Distributed Drone Weather System using LoRaWAN and LoRa Meshnet</t>
  </si>
  <si>
    <t xml:space="preserve">Kim, H.; Pyo, J.; Park, J.; Park, J.; Wu, J.; Smith, A.H.</t>
  </si>
  <si>
    <t xml:space="preserve">Proceedings - 2025 International Conference on Robotic Computing and Communication, RoboticCC 2025</t>
  </si>
  <si>
    <t xml:space="preserve">10.1109/roboticcc68732.2025.00020</t>
  </si>
  <si>
    <t xml:space="preserve">Traditional weather monitoring infrastructure struggles to provide continuous, high-resolution data in remote rural areas and disaster zones where communication networks are sparse or overloaded. This paper presents a distributed drone-based weather observation system that uses LoRaWAN communication and an integrated LoRa mesh network to extend coverage and resilience. Each autonomous drone in the system is equipped with weather sensors (temperature, humidity, wind, air quality, GPS) and communicates over long-range, low-power LoRa links, enabling wide-area data collection independent of cellular networks. A key contribution is a custom peer-to-peer mesh networking algorithm that allows drones to relay and aggregate sensor data among themselves, so that only one drone needs a direct LoRaWAN gateway connection for the entire fleet. This approach eliminates single points of failure and balances energy use across drones, ensuring the network remains operational even if individual units go offline. We implemented a prototype with off-the-shelf hardware and demonstrated end-to-end connectivity through a LoRaWAN gateway to a cloud database, confirming reliable real-time data delivery over several kilometers. The proposed system is cost-effective, rapidly deploy-able, and scalable, making it well-suited for social applications such as rural agriculture monitoring, wildfire and flood response, and any scenario where timely local weather information is critical but conventional infrastructure is unavailable. ©2025 IEEE.</t>
  </si>
  <si>
    <t xml:space="preserve">R092</t>
  </si>
  <si>
    <t xml:space="preserve">Extending data transmission in the multi-hop LoRa network</t>
  </si>
  <si>
    <t xml:space="preserve">Kim, J.; Jenkins, J.; Seol, J.; Kwak, M.</t>
  </si>
  <si>
    <t xml:space="preserve">Issues in Information Systems</t>
  </si>
  <si>
    <t xml:space="preserve">10.48009/3_iis_2022_124</t>
  </si>
  <si>
    <t xml:space="preserve">In recent years, with the widely available broadband network connectivity and sensing technology, the Internet of Things (IoT) provides a variety of smart services in both urban and rural environments. For example, sensing devices placed in the community not only provide environmental monitoring, but also are used to inform the public about rapidly changing real-time events. The data collected from sensors will help the community improve quality of life of citizens, and can be used for the city development. It has been known that LoRa (Long Range), a notable LPWAN (Low Power Wide Area Network) wireless communication technology, is suitable for providing IoT service with the help of wide coverage, long battery lifetime and low cost to deploy and operate. However, as the application of IoT is becoming increasingly complex, simple sensor data does not satisfy user requirements, and the demand for a variety of multimedia data transmission is increasing. Specifically, many applications require large image data transmission for improved service. A network based on LoRa supports data communication at up to 10 km range with the minimum data rate, and LoRaWAN is operated with a Star-of-Stars topology. However, due to the narrow bandwidth of LoRa, it takes a great deal amount of time to transmit large image files. A possible solution is to reduce distance between sensing devices and a gateway by deploying more gateways and maximize the data rate. However, as expected, particularly in case of monitoring rural environments such as farms, forests, mountains, etc., it is costly to provide the required power and network connectivity for the deployment of additional gateways. As a solution to two challenges, large image transmission and service coverage extension, multi-hop LoRa network is introduced. In this study, we implemented and tested a multi-hop LoRa network. In the experiment, we were able to transmit an image file through multiple end devices successfully. © 2023 Issues in Information Systems. All rights reserved.</t>
  </si>
  <si>
    <t xml:space="preserve">R093</t>
  </si>
  <si>
    <t xml:space="preserve">Long-Range wide-area network for secure network connections with increased sensitivity and coverage</t>
  </si>
  <si>
    <t xml:space="preserve">Kiran, S.; Gupta, G.</t>
  </si>
  <si>
    <t xml:space="preserve">AIP Conference Proceedings</t>
  </si>
  <si>
    <t xml:space="preserve">10.1063/5.0082116</t>
  </si>
  <si>
    <t xml:space="preserve">Long Range Wide Area Network (LoRaWAN) is one of the most common broad-band low-power networks that use Semtech's patented LoRa modulation to provide high sensitivity for long-band rates at low data rates. LoRaWAN covers thousands of end-devices (sensors) that operate on batteries with single-hop gates. To communicate with the network server, every gateway needs an internet connection or a private network (Ethernet, WiFi, 3G/4G). Several gateways are needed to cover the final devices in obstructed areas with mountains, trees or simply vast areas. There could be some places where Internet/mobile coverage is lacking. This quickly generates Internet access costs in these areas unless a solution that routes messages between the gates through the current LoRa radio communications standard has been established. This reduces the internet connections available while providing coverage. In order that LoRaWAN devices with two-way capabilities should be supported according to regional regulations and that a road protocol should be provided that minimizes extra data that is provided with messages routing over a network. This solution was developed and evaluated. Triple gateway experiments showed that the solution offers a working routing protocol with a maximum routing time of 3 bytes. Though quick enough, end devices located farthest from the port of the server link will be bidirectionally supported. © 2022 Author(s).</t>
  </si>
  <si>
    <t xml:space="preserve">R094</t>
  </si>
  <si>
    <t xml:space="preserve">A Resilient LoRa-Based Solution to Support Pervasive Sensing</t>
  </si>
  <si>
    <t xml:space="preserve">Manzoni, P.; Merzougui, S.E.; Palazzi, C.E.; Pozzan, P.</t>
  </si>
  <si>
    <t xml:space="preserve">10.3390/electronics12132952</t>
  </si>
  <si>
    <t xml:space="preserve">Today, billions of small devices that can sense things are connected, creating the Internet of Things (IoT). This major technological step has led to ideas like smart cities, smart factories, and smart countries. One important use of this technology is pervasive sensing, which could benefit from a network that covers a wide area but does not use much power. This paper looks closely at the advantages and disadvantages of using LoRa—a network technology that can reach long distances with limited energy use—in situations like this. To this aim, we have created a holistic solution to manage the considered network enabling synchronization, routing, and reliability. In particular, we have even developed an adaptive spreading factor mechanism, simple and effective in allowing the network to cope better when the connection is not very good. © 2023 by the authors.</t>
  </si>
  <si>
    <t xml:space="preserve">R095</t>
  </si>
  <si>
    <t xml:space="preserve">CDR: Bandwidth-Efficient Cross-Interface Downlink Relay Scheme for Low-Power Multihop Wireless Networks</t>
  </si>
  <si>
    <t xml:space="preserve">Qin, H.; Chen, W.; Li, N.; Wang, T.; Deng, Y.; Yang, G.; Peng, Y.</t>
  </si>
  <si>
    <t xml:space="preserve">10.1109/jiot.2024.3350634</t>
  </si>
  <si>
    <t xml:space="preserve">Driven by emerging wireless applications, numerous smart objects will be deployed, forming things networks interconnected by the Internet of Things (IoT). Many of these networks follow the low-power multihop wireless network (LPMWN) paradigm due to the good scalability of the distributed schemes adopted by LPMWNs. Although distributed schemes may operate satisfactorily most of the time, they are often complex and costly to manage. To simplify network management, the LoRa (long range) wireless technology has been introduced into LPMWNs for centralized network control. Unfortunately, due to LoRa's inherent limitation that a downlink packet must be in response to a precedent uplink packet, the existing protocols typically require every node to periodically send an uplink packet to the gateway for downlink network command dissemination. This causes intensive uplink collisions and quickly depletes LoRa bandwidth, especially when the network is large. In light of these pitfalls, we propose a (cross-interface downlink relay (CDR)) scheme, which leverages the ZigBee communications that are already available in LPMWNs to relay LoRa downlink data traffic for bandwidth-efficient and delay-guaranteed data dissemination. CDR determines the optimal network topology for bandwidth-minimized data relay while adjusting system parameters to ensure each node's delay requirement under network dynamics. A prototype system is implemented by integrating LoRa and ZigBee into an IoT platform. Extensive outdoor experiments show that the bandwidth consumption of CDR is 39.3% lower than a state-of-the-art LoRa data dissemination protocol for ZigBee-based LPMWNs under a moderate data traffic and delay requirement. Besides, CDR improves energy efficiency and network lifetime significantly. © 2014 IEEE.</t>
  </si>
  <si>
    <t xml:space="preserve">R096</t>
  </si>
  <si>
    <t xml:space="preserve">Wireless mesh networking: An IoT-oriented perspective survey on relevant technologies</t>
  </si>
  <si>
    <t xml:space="preserve">Cilfone, A.; Davoli, L.; Belli, L.; Ferrari, G.</t>
  </si>
  <si>
    <t xml:space="preserve">10.3390/fi11040099</t>
  </si>
  <si>
    <t xml:space="preserve">The Internet of Things (IoT), being a "network of networks", promises to allow billions of humans and machines to interact with each other. Owing to this rapid growth, the deployment of IoT-oriented networks based on mesh topologies is very attractive, thanks to their scalability and reliability (in the presence of failures). In this paper, we provide a comprehensive survey of the following relevant wireless technologies: IEEE 802.11, Bluetooth, IEEE 802.15.4-oriented, and Sub-GHz-based LoRa. Our goal is to highlight how various communication technologies may be suitable for mesh networking, either providing a native support or being adapted subsequently. Hence, we discuss how these wireless technologies, being either standard or proprietary, can adapt to IoT scenarios (e.g., smart cities and smart agriculture) in which the heterogeneity of the involved devices is a key feature. Finally, we provide reference use cases involving all the analyzed mesh-oriented technologies. © 2019 by the authors.</t>
  </si>
  <si>
    <t xml:space="preserve">R097</t>
  </si>
  <si>
    <t xml:space="preserve">Routing in LoRaWAN: Overview and Challenges</t>
  </si>
  <si>
    <t xml:space="preserve">Osorio, A.; Calle, M.; Soto, J.D.; Candelo-Becerra, J.E.</t>
  </si>
  <si>
    <t xml:space="preserve">IEEE Communications Magazine</t>
  </si>
  <si>
    <t xml:space="preserve">10.1109/mcom.001.2000053</t>
  </si>
  <si>
    <t xml:space="preserve">LPWAN technologies are playing a major role in the IoT scenario due to their extensive radio range, use of free frequency bands, and low energy consumption. Among these technologies, longrange WAN (LoRaWAN) transmits through several kilometers with data rates up to 5.5 kb/s, making it useful for applications such as smart city monitoring, precision agriculture, and environmental tracking. However, LoRaWAN supports only one-hop communication between end nodes and gateways. Because links can be kilometers long, LoRaWAN signals may encounter obstacles or interference, affecting packet reception. Therefore, different studies have proposed using routing schemes to create multihop communication and improve LoRaWAN performance. The article has the following contributions: first, we present the main approaches to build multihop communication in LoRa networks. Second, we summarize different routing protocols proposed for the technology. Finally, we describe different challenges to improve the performance of routing protocols for LoRaWAN.  © 1979-2012 IEEE.</t>
  </si>
  <si>
    <t xml:space="preserve">R098</t>
  </si>
  <si>
    <t xml:space="preserve">NeuroMesh: Decentralized Edge Mesh for Scalable IoT with Future LoRa and Autonomous Control Integration</t>
  </si>
  <si>
    <t xml:space="preserve">Ramesh, K.; Durgaprasad, R.; Ashwin Varma, T.; Harish, S.; Jayapradha, A.; Kalaivani, K.</t>
  </si>
  <si>
    <t xml:space="preserve">2025 IEEE 1st International Conference on Innovations in Engineering and Next-Generation Technologies for Sustainability, ICINVENTS 2025</t>
  </si>
  <si>
    <t xml:space="preserve">10.1109/icinvents64613.2025.11401504</t>
  </si>
  <si>
    <t xml:space="preserve">The Internet of Things (IoT) ecosystem continues to expand rapidly across domains such as smart agriculture, environmental monitoring, and urban infrastructure. Despite its potential, conventional cloud-centric IoT architectures remain constrained by scalability, latency, and resilience limitations, particularly in rural or resource-constrained regions. This paper presents NeuroMesh, a decentralized edge mesh framework built upon ESP32 devices, incorporating optional LoRa overlays and a planned autonomous control layer. NeuroMesh leverages a WiFi mesh backbone for low-latency multi-hop communication and extends coverage with LoRa-based long-range links. Experimental evaluation using a 6-node laboratory deployment demonstrates high packet delivery ratios (PDR), predictable latency growth with hop count, and energy efficiency under duty-cycled operation. Furthermore, a roadmap is provided for integrating Multi-Agent Reinforcement Learning (MARL), enabling adaptive routing, load balancing, and energy-aware decisions at the edge. NeuroMesh thus offers a resilient and extensible foundation for next-generation distributed IoT networks. © 2025 IEEE.</t>
  </si>
  <si>
    <t xml:space="preserve">R099</t>
  </si>
  <si>
    <t xml:space="preserve">Practical Evaluation of Ranging Performance of 923 MHz LoRa with Meshtastic</t>
  </si>
  <si>
    <t xml:space="preserve">Nakudom, C.; Kotpetch, H.; Khongdeach, T.; Jariyanorawiss, T.; Chongburee, W.</t>
  </si>
  <si>
    <t xml:space="preserve">Proceedings, International Conference on Electrical, Control and Instrumentation Engineering, ICECIE</t>
  </si>
  <si>
    <t xml:space="preserve">10.1109/icecie66637.2025.11363862</t>
  </si>
  <si>
    <t xml:space="preserve">This paper presents an experimental investigation of the practical communication range of LoRa, a widely available long-range radio technology operating at 923 MHz, commonly used in IoT applications. LoRa typically uses a star topology, where the range is limited by the single-hop distance between a node and a gateway. To overcome this limitation, mesh networking solutions such as Meshtastic can extend coverage by relaying messages through intermediate nodes. The experiment was conducted on a university campus, representing a dense and realistic deployment environment. Antenna heights were set approximately at human level rather than mounted on towers, to reflect typical mobile or handheld usage scenarios. A range of LoRa parameters was tested to evaluate their impact on communication distance. Results indicate that ground-level, point-to-point LoRa communication with legally limited transmit power achieves a usable range of approximately 700 m. The range can be significantly extended using a mesh network configuration. © 2025 IEEE.</t>
  </si>
  <si>
    <t xml:space="preserve">R100</t>
  </si>
  <si>
    <t xml:space="preserve">Enabling Cross-Technology Communication from LoRa to ZigBee in the 2.4 GHz Band</t>
  </si>
  <si>
    <t xml:space="preserve">ACM Transactions on Sensor Networks</t>
  </si>
  <si>
    <t xml:space="preserve">10.1145/3491222</t>
  </si>
  <si>
    <t xml:space="preserve">IEEE 802.15.4-based wireless sensor-Actuator networks have been widely adopted by process industries in recent years because of their significant role in improving industrial efficiency and reducing operating costs. Today, industrial wireless sensor-Actuator networks are becoming tremendously larger and more complex than before. However, a large, complex mesh network is hard to manage and inelastic to change once the network is deployed. In addition, flooding-based time synchronization and information dissemination introduce significant communication overhead to the network. More importantly, the deliveries of urgent and critical information such as emergency alarms suffer long delays, because those messages must go through the hop-by-hop transport. A promising solution to overcome those limitations is to enable the direct messaging from a long-range radio to an IEEE 802.15.4 radio. Then messages can be delivered to all field devices in a single-hop fashion. This article presents our study on enabling the cross-Technology communication from LoRa to ZigBee using the energy emission of the LoRa radio as the carrier to deliver information. Experimental results show that our cross-Technology communication approach provides reliable communication from LoRa to ZigBee with the throughput of up to 576.80 bps and the bit error rate of up to 5.23% in the 2.4 GHz band.  © 2021 Association for Computing Machinery.</t>
  </si>
  <si>
    <t xml:space="preserve">R101</t>
  </si>
  <si>
    <t xml:space="preserve">Evaluation of routing protocols for multi-hop communication in lpwan</t>
  </si>
  <si>
    <t xml:space="preserve">Pham Van, D.; Le, D.T.; Kirichek, R.</t>
  </si>
  <si>
    <t xml:space="preserve">10.1007/978-3-030-65726-0_23</t>
  </si>
  <si>
    <t xml:space="preserve">Nowadays, the low-power long-range networks are required for the Internet of Things applications, in which devices can transmit data over long distances and consume low energy. Low-Power Wide-Area Networks (LPWANs) have emerged to focus on a group of networks providing solutions for long-range communication and saving power consumption. However, most such networks rely on star topology networks, where the end nodes send data directly to the gateway, which leads to an issue when many nodes are far from the gateway. Aiming for no need for additional gateways, we considermulti-hop communication inLPWANs in this paper. Routing protocols are used to help some nodes that can become relay nodes and find the optimal route to forward the data to the gateway. In the simulated LoRa network, we evaluated the routing protocols in considering the delivery latency and packet loss ratio in varying the network size and number of nodes. Also, the results bring an insight into the future design of a multi-hop communication supported in LPWANs. © Springer Nature Switzerland AG 2020.</t>
  </si>
  <si>
    <t xml:space="preserve">R102</t>
  </si>
  <si>
    <t xml:space="preserve">Rural Communication in Outage Scenarios: Disruption-Tolerant Networking via LoRaWAN Setups</t>
  </si>
  <si>
    <t xml:space="preserve">Kuntke, F.; Baumgärtner, L.; Reuter, C.</t>
  </si>
  <si>
    <t xml:space="preserve">Proceedings of the International ISCRAM Conference</t>
  </si>
  <si>
    <t xml:space="preserve">Since communications infrastructure is subject to many impacts, e.g., destructive natural events, it can potentially collapse at any time. Especially in rural areas, the recovery of public network infrastructure can take some time, so a dedicated communication channel would be advantageous. We explore the possibility of transforming commodity LoRaWAN gateways into meshed network nodes for a digital emergency communication channel. In order to obtain the required parameters, we collected farm locations in Germany with OpenStreetMap. Based on the assumptions of LoRa communication range and considering our use case requirements, connecting farm communities seems theoretically feasible in many areas of our data set. To further analyze our idea, we ran simulations of two common DTN routing protocols with different scenarios. A proof-of-concept implementation allows smaller messages to be transmitted using real hardware and demonstrates that a decentralized communications infrastructure based on commodity hardware is possible. © 2023 Information Systems for Crisis Response and Management, ISCRAM. All rights reserved.</t>
  </si>
  <si>
    <t xml:space="preserve">R103</t>
  </si>
  <si>
    <t xml:space="preserve">DDFH: Dynamic Dual Frequency Hopping for LoRa Networks</t>
  </si>
  <si>
    <t xml:space="preserve">Ortigoso, A.R.; Vieira, G.; Fuentes, D.; Frazao, L.; Costa, N.; Pereira, A.</t>
  </si>
  <si>
    <t xml:space="preserve">2024 34th International Telecommunication Networks and Applications Conference, ITNAC 2024</t>
  </si>
  <si>
    <t xml:space="preserve">10.1109/itnac62915.2024.10815328</t>
  </si>
  <si>
    <t xml:space="preserve">This short paper introduces the Dynamic Dual Frequency Hopping (DDFH), a novel architectural approach for LoRa networks, designed to address the inherent limitations in existing LoRa implementations, including regulatory duty cycle restrictions and security vulnerabilities. The proposed solution employs two distinct frequency hopping mechanisms: LoRa Temporal Frequency Hopping (LTFH) for the management network and LoRa Software-Defined Frequency Hopping (LSFH) for the access network. By implementing a mesh topology based on controlled flooding, the architecture enhances both network scalability and security, making it more suitable for Internet of Things (IoT) applications in demanding environments. A prototype, utilising diverse Single-Board Computers (SBCs) and LoRa modules demonstrates the feasibility of the architecture with 94.66% average received message success rate. Preliminary results suggest significant improvements in network resilience and data transmission efficiency, validating the effectiveness of the DDFH approach. Future work will focus on optimising the system performance and scalability through extensive testing across various environments and deployments.  © 2024 IEEE.</t>
  </si>
  <si>
    <t xml:space="preserve">R104</t>
  </si>
  <si>
    <t xml:space="preserve">Intelligent Carbon-Aware Gateway Placement for Green IoT Networks</t>
  </si>
  <si>
    <t xml:space="preserve">Alvarado-Alcon, F.-J.; Asorey-Cacheda, R.; Garcia-Haro, J.; Garcia-Sanchez, A.-J.</t>
  </si>
  <si>
    <t xml:space="preserve">10.3390/fi18080389</t>
  </si>
  <si>
    <t xml:space="preserve">Sustainable Internet of Things (IoT) deployments require network planning strategies that explicitly account for environmental impact and not only traditional performance and energy metrics. This work analyzes how input representations affect a learning-based framework for carbon footprint (CF)-aware gateway placement in LoRa multi-hop IoT networks. Building on a previous CF model and an integer linear programming dataset, a multilayer perceptron is retrained using different input encodings: end-device coordinates, traffic-based weights, spatial sampling regions (SSRs), and a global CF estimate. Their contributions are evaluated through Shapley additive explanations (SHAP)-based explainability analysis, ablation studies, and sensitivity analysis. Results show that the CF estimate is the most influential input, acting as a global guidance signal that drives large gateway relocations. The combination of raw coordinates and SSR-based spatial summaries achieves the best performance by capturing both fine spatial detail and collective relay opportunities, while traffic-based weights mainly contribute through aggregate effects. These findings provide practical guidelines for designing CF-aware learning pipelines and offer insights to support future research on environmentally aware artificial intelligence for IoT network planning. © 2026 by the authors.</t>
  </si>
  <si>
    <t xml:space="preserve">R105</t>
  </si>
  <si>
    <t xml:space="preserve">Multi-Hop Heterogeneous UAV Swarm Networking for Post-Disaster Internet Access</t>
  </si>
  <si>
    <t xml:space="preserve">Vera-Amaro, R.; Torres-Cruz, N.; Montiel-Cruz, A.L.; Alemon-Perez, A.; Garcia-Arguello, J.I.</t>
  </si>
  <si>
    <t xml:space="preserve">2026 32nd International Conference on Telecommunications, ICT 2026</t>
  </si>
  <si>
    <t xml:space="preserve">10.1109/ict70370.2026.11594783</t>
  </si>
  <si>
    <t xml:space="preserve">Natural disasters often disrupt communication infrastructure, limiting Internet access for emergency response. This paper presents an experimentally validated heterogeneous UAV swarm network integrating WiFi access, multi-hop relaying, LTE backhaul, and LoRa coordination. Propagation models are validated using real RSSI measurements and mean absolute error analysis. End-to-end performance is evaluated through real flight experiments under line-of-sight (LoS) and obstructed conditions, considering delivery success probability and latency. Results identify an RSSI operating region near $-65 \mathbf{~ d B m}$ associated with stable service, revealing the coupling between link margin and QoS in multi-hop UAV networks. These findings provide practical guidelines for relay spacing and rapid deployment of UAV-based communication systems in post-disaster scenarios. © 2026 IEEE.</t>
  </si>
  <si>
    <t xml:space="preserve">R106</t>
  </si>
  <si>
    <t xml:space="preserve">Power Saving in LoRa Linear Networks Through Self Synchronization</t>
  </si>
  <si>
    <t xml:space="preserve">Branch, P.; But, J.</t>
  </si>
  <si>
    <t xml:space="preserve">10.1109/itnac62915.2024.10815393</t>
  </si>
  <si>
    <t xml:space="preserve">This paper describes an implementation of reduced duty cycle power saving for lightly loaded, multi-hop, LoRa linear networks. LoRa linear networks are a natural fit to many real-world IoT deployments such as along tunnels, highways and railway lines. Reduced duty cycle power saving requires nodes to be in a low power state until a scheduled message is expected whereupon they go into full power mode, process the message, reschedule the next time they expect another message and re-enter low power mode. This approach is challenging to use in meshed networks but is feasible for linear and near linear networks. To demonstrate the feasibility and to quantify the power savings in such networks we implemented LoRa linear networks with a single source generating data every ten seconds with four relays and a single destination. We experimented with four different network topologies and measured power consumption. Using reduced duty cycle reduced average power consumption of source nodes by 80%, relay nodes by 71% and destination nodes by 79%.  © 2024 IEEE.</t>
  </si>
  <si>
    <t xml:space="preserve">R107</t>
  </si>
  <si>
    <t xml:space="preserve">Design of Energy-Efficient LoRaWAN Routing Scheme</t>
  </si>
  <si>
    <t xml:space="preserve">Arifin, A.S.; Handokoputra, M.R.; Agtusia, A.T.; Panahi, F.H.; Panahi, F.H.</t>
  </si>
  <si>
    <t xml:space="preserve">IEEE Sensors Journal</t>
  </si>
  <si>
    <t xml:space="preserve">10.1109/jsen.2025.3547910</t>
  </si>
  <si>
    <t xml:space="preserve">The vast adoption of long-range wide area network (LoRaWAN) for the Internet of Things (IoT) systems is undeniable as low-power wide area network (LPWAN) wireless communication leads in transmission distance, lifetime, capacity, cost, and scalability. Finding an optimal configuration to get the most out of the LoRa transmission protocol is integral before deployment. Distance-ring exponential stations generator (DRESG) brings a routing scheme that enables multihop routing and reduces a node's energy consumption. This research extends the DRESG framework by implementing a circular arc cluster division to minimize the energy consumption of critical nodes while maintaining high network connectivity. Taking into account three routing types, namely, direct-hop (DH), next-ring-hop (NRH), and variable-hop (VH), our proposed framework offers better energy efficiency than the existing framework.  © 2001-2012 IEEE.</t>
  </si>
  <si>
    <t xml:space="preserve">R108</t>
  </si>
  <si>
    <t xml:space="preserve">In-Depth Analysis of LoRa Mesh Routing for Effective Forest Fire Prevention</t>
  </si>
  <si>
    <t xml:space="preserve">Hammouti, M.; Moussaoui, O.; Haissaine, M.; Betari, A.</t>
  </si>
  <si>
    <t xml:space="preserve">2024 International Conference on Intelligent Systems and Computer Vision, ISCV 2024</t>
  </si>
  <si>
    <t xml:space="preserve">10.1109/iscv60512.2024.10620087</t>
  </si>
  <si>
    <t xml:space="preserve">With the rapid progression of IoT technology, an escalating array of devices necessitates interconnectivity and communication to facilitate data acquisition, surveillance, and control. Conventional wireless communication technologies exhibit intrinsic limitations in range, energy consumption, and cost. Consequently, a demand arises for a more suitable networking solution tailored to IoT applications, and the LoRa mesh network emerges as a preferable alternative. The LoRa mesh represents a wireless networking technology characterized by expansive coverage and low energy consumption. Various mesh network routing algorithms have been scrutinized to identify the most optimal ones concerning battery energy consumption, low latency, wide coverage, and fault tolerance, particularly for forest fire monitoring and detection applications. This article systematically investigates diverse routing algorithms to ascertain the most effective algorithm for deployment in a forest environment. © 2024 IEEE.</t>
  </si>
  <si>
    <t xml:space="preserve">R109</t>
  </si>
  <si>
    <t xml:space="preserve">Distributed multi-objective consumer-centric routing for LoRa-based IoT-enabled FANET</t>
  </si>
  <si>
    <t xml:space="preserve">Chughtai, O.; Rehan, M.W.; Naeem, M.; Alenezi, A.H.; Haider, S.A.</t>
  </si>
  <si>
    <t xml:space="preserve">Future Generation Computer Systems</t>
  </si>
  <si>
    <t xml:space="preserve">10.1016/j.future.2026.108368</t>
  </si>
  <si>
    <t xml:space="preserve">LoRa-enabled Flying Ad Hoc Networks (FANETs) offer long-range and energy-efficient connectivity for next-generation IoT and post-disaster communication infrastructures, yet their performance is fundamentally constrained by limited bandwidth, dynamic topologies, and uneven energy depletion across aerial nodes. This work develops a distributed consumer-centric multi-objective routing framework (Proposed-CCR) that jointly optimizes residual energy, link quality, and flow-level priority through a lightweight utility-driven forwarding mechanism. The design integrates composite cost modeling, two-hop neighbor awareness, adaptive path monitoring, and local repair to ensure scalable, resilient, and delay-aware multi-hop communication. Extensive simulations demonstrate that Proposed-CCR reduces per-packet energy consumption by 28–35%, extends network lifetime by over 35%, and decreases high-priority flow delay by nearly 40% relative to state-of-the-art schemes including MinHop, ACOR, GCCR, and BBCCR. These results confirm the effectiveness of a consumer-centric, LoRa-aware multi-objective heuristic for UAV-IoT integration and emergency communication scenarios, while highlighting practical opportunities for sustainable and resource-efficient airborne networking architectures. © 2026 Elsevier B.V. All rights are reserved, including those for text and data mining, AI training, and similar technologies.</t>
  </si>
  <si>
    <t xml:space="preserve">R110</t>
  </si>
  <si>
    <t xml:space="preserve">On the Scalability and Coverage of LoRa Mesh for Monitoring Linear Infrastructure</t>
  </si>
  <si>
    <t xml:space="preserve">Chen, Y.; Shi, G.; Sambo, Y.A.; Onireti, O.; Imran, M.A.</t>
  </si>
  <si>
    <t xml:space="preserve">IEEE Transactions on Vehicular Technology</t>
  </si>
  <si>
    <t xml:space="preserve">10.1109/tvt.2025.3563236</t>
  </si>
  <si>
    <t xml:space="preserve">This paper investigates the scalability and coverage of long range (LoRa) mesh networks deployed for monitoring linear infrastructure, such as railways and pipelines. Although the monitored infrastructure is linear, the network topology is a mesh. The study addresses the challenges posed by the scalability of such networks, considering constraints imposed by duty cycle regulations in license-free frequency bands, particularly within the European Union where a 1% duty cycle limitation exists. A deployment strategy is proposed to optimize the placement of LoRa mesh nodes along linear infrastructure. A comprehensive analysis of scalability and coverage yields their bounds, along with the condition necessary to achieve the upper bounds. To enhance scalability and coverage, a novel routing algorithm is proposed considering the number of hops and the received signal strength indicator. Additionally, a LoRa mesh simulator, LoRaMeshSim, is developed to validate the system analysis and evaluate the effectiveness of the proposed routing algorithm. The findings provide valuable insights into the practical deployment of LoRa mesh networks for monitoring linear infrastructure. © 1967-2012 IEEE.</t>
  </si>
  <si>
    <t xml:space="preserve">R111</t>
  </si>
  <si>
    <t xml:space="preserve">Data-Driven Energy-Saving Methods Based on LoRa-Mesh Hierarchical Network</t>
  </si>
  <si>
    <t xml:space="preserve">Tang, M.; Li, X.; Shang, J.</t>
  </si>
  <si>
    <t xml:space="preserve">10.3390/s26072226</t>
  </si>
  <si>
    <t xml:space="preserve">As a reliable and high-potential wireless communication technology for the Internet of Things (IoT), LoRa excels in long-distance and low-power transmission. The star topology adopted by traditional LoRaWAN suffers from poor deployment flexibility and insufficient scalability in scenarios with complex terrain or harsh environments. LoRa-Mesh networks can effectively solve coverage challenges through characteristics such as multi-hop and self-organization; however, the relay and forwarding requirements of nodes also introduce new challenges in energy consumption management. To address the energy consumption management challenges of LoRa-Mesh, this paper proposes a Data-Driven Energy Saving (DDES) protocol. It flexibly sets and dynamically fine-tunes node sleep durations based on data changes, constructs an efficient energy-saving framework through uplink data streams, and implements precise control over nodes via downlink post-analysis messages to achieve on-demand energy saving. Simulation results in the smart agriculture scenario of soil moisture monitoring and irrigation show that compared with protocols without a sleep mechanism, the battery life of the LoRa-Mesh network using the DDES protocol is extended by approximately 20 times. The proposed protocol breaks through the limitations of fixed sleep schemes, realizes refined and flexible division of sleep regions, and exhibits significant advantages in LoRa network energy saving. © 2026 by the authors.</t>
  </si>
  <si>
    <t xml:space="preserve">R112</t>
  </si>
  <si>
    <t xml:space="preserve">LEACH-Enhanced LoRa-Based Forest Fire Detection System</t>
  </si>
  <si>
    <t xml:space="preserve">Latha, P.; Sumitra, V.; Sivakumar, R.; Jeevitha, K.</t>
  </si>
  <si>
    <t xml:space="preserve">Integrated Systems: Embedded, Signal Processing, and Communication</t>
  </si>
  <si>
    <t xml:space="preserve">10.1002/9781394311767.ch26</t>
  </si>
  <si>
    <t xml:space="preserve">This paper demonstrates a practical forest fire detection system leveraging LoRa technology, integrating a fire sensor with an energy-efficient cluster head. By exploiting the system’s low-power features and utilizing LoRaWAN for extended communication range, the solution enables real-time monitoring in remote regions through multi-hop routing, offering a scalable and energy-efficient approach. The topology ensures efficient data transmission between fire sensors and the central monitoring station, enabling swift reactions to potential forest fires. The optimized low-power modes contribute to prolonged battery life, crucial for sustained operation in challenging environments. This implementation not only addresses deployment challenges but also serves as a valuable reference for practitioners working on similar systems in expansive landscapes, contributing to the ongoing advancements in wildfire detection technology. © 2026 Scrivener Publishing LLC.</t>
  </si>
  <si>
    <t xml:space="preserve">R113</t>
  </si>
  <si>
    <t xml:space="preserve">Optimizing Routing Protocol Design for Long-Range Distributed Multi-Hop Networks</t>
  </si>
  <si>
    <t xml:space="preserve">Pang, S.; Lu, J.; Pan, R.; Wang, H.; Wang, X.; Ye, Z.; Feng, J.</t>
  </si>
  <si>
    <t xml:space="preserve">10.3390/electronics13193957</t>
  </si>
  <si>
    <t xml:space="preserve">The advancement of communication technologies has facilitated the deployment of numerous sensors, terminal human–machine interfaces, and smart devices in various complex environments for data collection and analysis, providing automated and intelligent services. The increasing urgency of monitoring demands in complex environments necessitates low-cost and efficient network deployment solutions to support various monitoring tasks. Distributed networks offer high stability, reliability, and economic feasibility. Among various Low-Power Wide-Area Network (LPWAN) technologies, Long Range (LoRa) has emerged as the preferred choice due to its openness and flexibility. However, traditional LoRa networks face challenges such as limited coverage range and poor scalability, emphasizing the need for research into distributed routing strategies tailored for LoRa networks. This paper proposes the Optimizing Link-State Routing Based on Load Balancing (LB-OLSR) protocol as an ideal approach for constructing LoRa distributed multi-hop networks. The protocol considers the selection of Multipoint Relay (MPR) nodes to reduce unnecessary network overhead. In addition, route planning integrates factors such as business communication latency, link reliability, node occupancy rate, and node load rate to construct an optimization model and optimize the route establishment decision criteria through a load-balancing approach. The simulation results demonstrate that the improved routing protocol exhibits superior performance in node load balancing, average node load duration, and average business latency. © 2024 by the authors.</t>
  </si>
  <si>
    <t xml:space="preserve">R114</t>
  </si>
  <si>
    <t xml:space="preserve">An Energy-Efficient Cluster Formation Based on Optimal Node Distribution in Full Capacity Multi-Hop LoRa Networks</t>
  </si>
  <si>
    <t xml:space="preserve">Paul, B.; Assi, C.; Kaddoum, G.; Palit, R.; Islam, S.</t>
  </si>
  <si>
    <t xml:space="preserve">IEEE Open Journal of the Communications Society</t>
  </si>
  <si>
    <t xml:space="preserve">10.1109/ojcoms.2024.3350511</t>
  </si>
  <si>
    <t xml:space="preserve">Our most recent findings on multi-hop LoRa networks imply that earlier developed multi-hop routing methods, such as our previously suggested Extended-DRESG scheme, had overlooked some essential information. Although the researchers employed uniform node distributions for their multi-hop models, a full capacity LoRa network may be treated as a Gaussian distribution. Extended-DRESG performs better with a Gaussian distribution than with a uniform distribution of nodes. In contrast to optimal ring-hop combinations created earlier, this observation led to the suggested algorithm for optimal ring positioning and ring-hop combinations in Extended-DRESG. The Extended-DRESG cluster developing technique, which may produce much superior performance in terms of energy efficiency when uniform node distribution is encountered, is further suggested in light of the observations made in this research. Future multi-hop models can benefit from the current observations in two ways: (i) a better understanding of the packet forwarding structure, and (ii) a good cluster formation technique when clusters are established based on their distances from the gateway.  © 2020 IEEE.</t>
  </si>
  <si>
    <t xml:space="preserve">R115</t>
  </si>
  <si>
    <t xml:space="preserve">Research on Wireless Communication Method for Power Equipment Status Monitoring Based on Low-Power Self-Organizing Network</t>
  </si>
  <si>
    <t xml:space="preserve">Wang, C.; Zhou, J.; Ge, Y.; Tian, Y.</t>
  </si>
  <si>
    <t xml:space="preserve">2025 IEEE 9th Conference on Energy Internet and Energy System Integration, EI2 2025</t>
  </si>
  <si>
    <t xml:space="preserve">10.1109/ei268505.2025.11425276</t>
  </si>
  <si>
    <t xml:space="preserve">With the advancement of smart grids, power equipment status monitoring requires communication technologies that offer low power consumption, high reliability, and flexible deployment. Traditional RS485 wired communication is complex to install and difficult to scale [1], while existing wireless solutions such as Wi-Fi and 4G face limitations including high power consumption, severe signal attenuation, and dependence on public networks [2]. This paper proposes a low-power self-organizing communication method and terminal device based on LoRa, focusing on three innovative mechanisms: (1) Hybrid Duty-Cycle Control (HDCC), which combines scheduled and event-triggered wakeups for ultra-low power operation; (2) Self-Healing Multi-hop Routing (SHMR), which enables rapid switching and automatic topology repair when parent nodes fail; (3) Adaptive Tiered Retransmission (ATR), which enhances communication reliability using ACK confirmation and graded delay retransmissions. Field experiments conducted in a 500 kV substation with strong electromagnetic interference demonstrated an average packet loss rate of only 0.08%, terminal endurance of 6-12 months, and network coverage over 5 km, significantly outperforming Wi-Fi, 4G, and ZigBee. The proposed solution is applicable not only to power equipment monitoring but also to smart agriculture, industrial IoT, and similar scenarios. © 2025 IEEE.</t>
  </si>
  <si>
    <t xml:space="preserve">R116</t>
  </si>
  <si>
    <t xml:space="preserve">A Novel Energy-Efficient Routing Scheme for LoRa Networks</t>
  </si>
  <si>
    <t xml:space="preserve">Paul, B.</t>
  </si>
  <si>
    <t xml:space="preserve">10.1109/jsen.2020.2983765</t>
  </si>
  <si>
    <t xml:space="preserve">Although being simple and currently adopted for LoRaWAN, single-hop routing (i.e., direct transmission from end devices to the gateway) is not necessarily optimal in terms of minimizing the total energy consumption of the network. This paper extends Distance Ring Exponential Generator (DRESG) framework and presents a multi-hop routing scheme in the context of low-power wide-area networks (LPWANs) based on LoRa transmission technology. An evaluation framework is developed to analyze and compare different routing mechanisms that takes into account important factors such as the type of nodes in the network and node distribution. Considered are direct-hop (DH) routing, next-ring-hop (NRH) routing and variable-hop (VH) routing. Analysis and simulations results confirm that better performance in terms of energy efficiency is achieved with multi-hop routing model over single-hop routing. In particular, while maintaining a high level of network connectivity, VH routing outperforms DH routing by minimizing energy consumption of critical nodes. The gain in terms of energy saving or enhancing network lifetime becomes more significant with payload aggregation.  © 2001-2012 IEEE.</t>
  </si>
  <si>
    <t xml:space="preserve">R117</t>
  </si>
  <si>
    <t xml:space="preserve">LoRa-based Mesh Network for Off-grid Emergency Communications</t>
  </si>
  <si>
    <t xml:space="preserve">MacAraeg, K.C.V.G.; Hilario, C.A.G.; Ambatali, C.D.C.</t>
  </si>
  <si>
    <t xml:space="preserve">2020 IEEE Global Humanitarian Technology Conference, GHTC 2020</t>
  </si>
  <si>
    <t xml:space="preserve">10.1109/ghtc46280.2020.9342944</t>
  </si>
  <si>
    <t xml:space="preserve">The Philippines, being one of the most disaster-stricken countries in the world, is susceptible to property and infrastructure damage caused by natural calamities. During these times, most of the major telecommunication network infrastructures in the affected area become unusable. Thus, developing a robust, low-power, decentralized emergency communication network becomes necessary in order to coordinate the emergency response and relief efforts. In this paper, we propose a mesh network based on LoRa technology as a viable emergency communication tool. We implement a modified ad hoc on-demand distance vector (AODV) routing protocol to enable mesh networking in LoRa. The modified AODV uses the received signal strength indicator (RSSI) as the routing metric. The performance of the proposed system was evaluated based on the packet delivery ratio (PDR). We demonstrate the feasibility of the developed system by transmitting text messages from one mobile phone to another through LoRa-based mesh network.  © 2020 IEEE.</t>
  </si>
  <si>
    <t xml:space="preserve">R118</t>
  </si>
  <si>
    <t xml:space="preserve">Evaluation of A Mesh Network based on LoRa Technology</t>
  </si>
  <si>
    <t xml:space="preserve">Pham, V.D.; Kisel, V.; Kirichek, R.; Koucheryavy, A.; Shestakov, A.</t>
  </si>
  <si>
    <t xml:space="preserve">10.23919/icact53585.2022.9728830</t>
  </si>
  <si>
    <t xml:space="preserve">In the last decade, the Internet of Things (IoT) technologies have brought many applications in different fields. Many communication technologies have been developed to communicate everything to each other and the Internet. Besides, the long-range power-efficient wireless technologies have emerged, such as LoRa (Long Range), which enables transmission over long distances with low energy consumption and can work within p2p, star, or mesh topologies. In this paper, we analyze a model of a mesh network based on the LoRa technology. The model considers various parameters of nodes and communication channels in the network. Based on a simulation model on OMNET++, a series of computer experiments are performed to analyze the delivery latency and packet delivery ratio (PDR) in different cases. According to the analytical results, conclusions are drawn about the possibility of using a LoRa mesh network to expand the network coverage and integrate with other short-range networks. © 2022 Global IT Research Institute-GiRI.</t>
  </si>
  <si>
    <t xml:space="preserve">R119</t>
  </si>
  <si>
    <t xml:space="preserve">Demo: Chat based Emergency Service via Long Range Wireless Communication (LoRa)</t>
  </si>
  <si>
    <t xml:space="preserve">Stiballe, A.; Welzel, S.; Dorfschmidt, J.; Schlüter, D.; Steuter, D.D.; Hense, J.L.; Klingler, F.</t>
  </si>
  <si>
    <t xml:space="preserve">Proceedings - Conference on Local Computer Networks, LCN</t>
  </si>
  <si>
    <t xml:space="preserve">10.1109/lcn58197.2023.10223398</t>
  </si>
  <si>
    <t xml:space="preserve">Internet and mobile communication are the foundation of today’s worldwide interaction and connectivity. Recently, several approaches have been introduced in order to add resilience to communication networks mainly by using low cost and commodity hardware by e.g., facilitating smart phones interconnected via LoRa communication. We extend those ideas by introducing a novel and versatile networking architecture for emergency communication in the context of crisis situations (e.g., when cellular coverage is gone) for mobile devices to keep communication overhead low by following an ad hoc and distributed multi-hop networking approach. In this work, we present a demo of our network to handle emergency communication. It features the long-range, wide area communication technique (LoRa), a web-based chat client with a user-friendly interface, a novel data processing approach, as well as a routing algorithm to ensure fast and efficient communication. © 2023 IEEE.</t>
  </si>
  <si>
    <t xml:space="preserve">R120</t>
  </si>
  <si>
    <t xml:space="preserve">Reconfigurable IoT Solution for Train Integrity and Monitoring</t>
  </si>
  <si>
    <t xml:space="preserve">Capitao, P.; Pinho, P.; Carvalho, N.B.</t>
  </si>
  <si>
    <t xml:space="preserve">10.1109/jiot.2024.3379863</t>
  </si>
  <si>
    <t xml:space="preserve">This article proposes an IoT system that ensures the integrity and monitoring of railway circulating material, where the network is self reconfigurable and its devices are not physically connected or used with redundancy. The system is based on a wireless sensor network (WSN) that facilitates communication among devices and transmits data from train sensors to a gateway while considering power consumption. Bluetooth low energy (BLE) mesh features enable the relay of data between devices and the network reconfiguration. If network reconnection is not possible, the device can use LoRa communication to report its position directly to the control center. Different disposition conditions were applied to the WSN, and the results indicate that this system is viable in terms of network configuration and self regeneration. Furthermore, it has a current consumption of less than 1 mA during its low power mode,with the integrity of a 50 node model train can be reported in an average time of 2.63 s.  © 2014 IEEE.</t>
  </si>
  <si>
    <t xml:space="preserve">R121</t>
  </si>
  <si>
    <t xml:space="preserve">The Protocol of Low Energy Multihop to Monitoring The River Based on The Internet of Things</t>
  </si>
  <si>
    <t xml:space="preserve">Pinem, M.; Pardede, S.C.; Hardi, S.; Panjaitan, S.</t>
  </si>
  <si>
    <t xml:space="preserve">Proceeding - ELTICOM 2023: 7th International Conference on Electrical, Telecommunication and Computer Engineering: Sustainable and Resilient Communities with Smart Technologies</t>
  </si>
  <si>
    <t xml:space="preserve">10.1109/elticom61905.2023.10443135</t>
  </si>
  <si>
    <t xml:space="preserve">This research is a low-energy multihop network (LoRa) to send river water levels at three blank spot internet locations to IoT Gateways in locations where the internet is available so that river water levels can be monitored via the internet. If there is a rise in river water level or flooding, it can be detected early to avoid the danger of victims and reduce significant losses. The research design is modeled with three sensor nodes and a gateway that receives data from the LoRa network and sends it to the Cloud Thingsboard via WiFi. LoRa will transmit data from the sensor node to the next sensor node in a relay manner up to the IoT Gateway, and the Gateway sends information to the cloud with the WiFi network and cellular network. The message will be sent to Thingsboard via WiFi. To save power, this is done by implementing a multi-hop protocol on the LoRa network where when the river water level is low the interval for sending data to the gateway is slower which is 25 seconds, and when the water level is high the interval for sending data is faster which is 5 seconds. The time interval for sending the water level uses Fuzzy logic with the Sugeno method with the variable input water level and changes in water level. From the test results, it can be obtained that the designed multi-hop LoRa network can monitor river surface levels via the Internet.  © 2023 IEEE.</t>
  </si>
  <si>
    <t xml:space="preserve">R122</t>
  </si>
  <si>
    <t xml:space="preserve">Optimized Tree-Structured LoRa Networks for Energy-Efficient Data Aggregation</t>
  </si>
  <si>
    <t xml:space="preserve">Kumar, A.; Kumar, R.; Rana, R.; Ravidas, A.</t>
  </si>
  <si>
    <t xml:space="preserve">ICoICC 2025 - 3rd International Conference on Intelligent and Cloud Computing</t>
  </si>
  <si>
    <t xml:space="preserve">10.1109/icoicc64033.2025.11052083</t>
  </si>
  <si>
    <t xml:space="preserve">Employing Convolutional Neural Networks (CNNs) to predict traffic accidents presents a variety of significant benefits that could transform the industry. Their remarkable ability to effectively extract spatial features and automatically learn them greatly boosts hybrid models' performance, achieving an impressive accuracy rate of 95% when integrated with XGBoost. This allows CNNs to proficiently process and gain insights from complex data, leading to marked improvements in predictive accuracy for traffic accident forecasting and safety management. By consolidating information from multiple sources, CNNs support the development of innovative approaches to accident prevention within a broader traffic management context. Looking ahead, there is considerable potential for further research, which could focus on developing sophisticated CNN architectures and utilizing more pertinent input data from conventional traffic accident prediction sources - ultimately enhancing road safety and traffic management efficiency. In this research, we provide a novel tree-structure-based information forwarding routing technique. To develop energy-efficient adaptive information forwarding in a decentralized manner, we modify wireless sensors in this study to choose better neighbour LoRa nodes.According to the suggested procedure, a wireless sensor first gathers the state and action data of its nearby LoRa node, including the distance and direction of information transmission, the amount of energy left, and the energy used for the information transmission action. For the future generation of IoT, where mesh topology is primarily used in current networks, LoRa technology is a possible alternative. This paper describes a LoRabased tree network and communication protocol that accounts for energy constraints. When employing LoRa technology, the nodes self-configure according to the physical link's behaviour and forwarding, where mesh nodes are used to gather information when scalable. Analytical, computational, and experimental results show that the suggested approaches achieve energy efficiency and produce notable gains in energy performance. These findings provide helpful starting points for optimizing large-scale IoT networks. According to the experimental results, this approach also enhanced the lifetime of the entire LoRa network and reduced energy consumption in LoRa nodes. © 2025 IEEE.</t>
  </si>
  <si>
    <t xml:space="preserve">R123</t>
  </si>
  <si>
    <t xml:space="preserve">HEAT Routing Algorithm for Multi-Hop Communication in IoT-Enabled LoRa-Based Wireless Mesh Networks</t>
  </si>
  <si>
    <t xml:space="preserve">Huynh, H.-K.; Pham, H.-A.</t>
  </si>
  <si>
    <t xml:space="preserve">Proceeding - 6th International Conference on Information Technology, Information Systems and Electrical Engineering: Applying Data Sciences and Artificial Intelligence Technologies for Environmental Sustainability, ICITISEE 2022</t>
  </si>
  <si>
    <t xml:space="preserve">10.1109/icitisee57756.2022.10057806</t>
  </si>
  <si>
    <t xml:space="preserve">There may be many routing algorithms that could be employed in a wireless mesh network. Each algorithm has its own advantages and disadvantages. While proactive routing algorithms can quickly provide up-to-date routing information which helps reduce the routing latency, reactive routing algorithms help reduce routing overhead but instead increase the routing time. On the other hand, some routing algorithms try to provide end-to-end communications despite the high routing overhead and low scalability but some others are designed for the ease of scaling up without providing end-to-end communications. This paper presents a revised HEAT routing algorithm for multi-hop communication in LoRa-based wireless mesh networks expected to provide higher scalability for IoT-based applications. Both software and hardware are also implemented for performance investigation.  © 2022 IEEE.</t>
  </si>
  <si>
    <t xml:space="preserve">R124</t>
  </si>
  <si>
    <t xml:space="preserve">Implicit Multi-hop Communication Scheme based on Overhearing in IoT LoRa Networks</t>
  </si>
  <si>
    <t xml:space="preserve">Mugerwa, D.; Nam, Y.; Cho, H.; Choi, H.; Shin, Y.; Lee, E.</t>
  </si>
  <si>
    <t xml:space="preserve">International Conference on Ubiquitous and Future Networks, ICUFN</t>
  </si>
  <si>
    <t xml:space="preserve">10.1109/icufn55119.2022.9829696</t>
  </si>
  <si>
    <t xml:space="preserve">Long Range (LoRa) is a Low-Power Wide-Area technology, because it is eminent for robust long-distance, low-bit rate, and low power communications in the unlicensed sub GHz spectrum used for the Internet of Things (IoT) networks. Recently, several schemes in multi-hop LoRa networks have proposed schemes with explicit relay nodes to partially mitigate the path loss and longer transmission time bottlenecks of the conventional single-hop LoRa by focusing more on coverage expansion. However, they do not consider improving the packet delivery success ratio (PDSR) and the packet reduction ratio (PRR) by using the overhearing technique. Thus, this paper proposes an Implicit Multi-hop Communication scheme based on Overhearing (IMCO) that exploits implicit relay nodes for performing the overhearing to promote relay operation. In IMCO, implicit relay nodes are selected as overhearing nodes (OHs) among end devices which have a Low spreading factor (SF) to improve PDSR and PRR for distant end devices (EDs). A theoretical framework for designing and determining the OH nodes to execute the relay operations was developed with consideration of the LoRaWAN MAC protocol. Simulation results verify that IMCO achieves better performance than the existing schemes.  © 2022 IEEE.</t>
  </si>
  <si>
    <t xml:space="preserve">R125</t>
  </si>
  <si>
    <t xml:space="preserve">Multi-hop LoRaWAN uplink extension: specification and prototype implementation</t>
  </si>
  <si>
    <t xml:space="preserve">Journal of Ambient Intelligence and Humanized Computing</t>
  </si>
  <si>
    <t xml:space="preserve">10.1007/s12652-019-01207-3</t>
  </si>
  <si>
    <t xml:space="preserve">The coverage of a LoRaWAN network in a city is greatly hampered by the harsh propagation environment. Sensors are sometimes placed under the ground or in places with strong electromagnetic attenuation. Also, for users who have a contract with a network operator, installing another gateway to improve coverage of blind spots is not an option. In other cases, there is no or very weak connectivity (e.g. basements). In the present work, we design and implement a multi-hop uplink solution compatible with the LoRaWAN specification, which can act as an extension to already deployed gateways. End nodes transmit data messages to intermediate nodes, which relay them to gateways by choosing routes based on a simplified version of destination-sequenced distance vector routing. The routing protocol was successfully implemented and was assessed using a linear and bottleneck topology, where the packet reception rate (PRR) and throughput were measured. A carrier activity detection mechanism is also proposed. This paper presents the protocol specification and detailed description of a prototype implementation, as well as experimental performance results. On the bottleneck topology, it was observed that the PRR of each node did not significantly vary. On the linear topology, we observed that the throughput and PRR did not decrease considerably with the increase of hops. A listen-before talk multiple access mechanism is also proposed, which significantly reduces the probability of collision. © 2019, Springer-Verlag GmbH Germany, part of Springer Nature.</t>
  </si>
  <si>
    <t xml:space="preserve">R126</t>
  </si>
  <si>
    <t xml:space="preserve">AODV-inspired Routing with Next-Hop Caching and Path Selection for LoRa Mesh Networks</t>
  </si>
  <si>
    <t xml:space="preserve">Ying Chong, M.J.; Kit Lim, S.; Tan, K.K.; Huey Khor, J.</t>
  </si>
  <si>
    <t xml:space="preserve">2025 IEEE Industrial Electronics and Applications Conference, IEACon 2025</t>
  </si>
  <si>
    <t xml:space="preserve">10.1109/ieacon64690.2025.11254006</t>
  </si>
  <si>
    <t xml:space="preserve">The high mobility of Unmanned Aerial Vehicles (UAVs) leads to constant changes in node positioning, which disrupts communication links and affects overall network stability. Therefore, routing protocols such as the conventional Ad hoc On-demand Distance Vector (AODV) have been widely utilised in mobile ad hoc networks to ensure reliable data delivery. However, AODV's on-demand routing nature leads to repetitive distribution of routing packets to re-establish overwritten routes, which is especially detrimental for low-data-rate communication networks such as Long Range (LoRa). This paper introduces an AODV-inspired routing protocol that integrates a next-hop caching strategy alongside a multi-route memory mechanism, enhanced by weight-based route selection. A proof-of-concept implementation is conducted in a real-world mesh network consisting of five static LoRa nodes and a mobile LoRa node traversing the network. Experimental analysis demonstrates that the proposed protocol is functional and achieves reductions in average routing latency of 19μs and end-to-end latency of 796.44s compared to the standard AODV protocol. These reductions in latency are vital for enabling efficient data delivery in dynamic topology networks. All source code and additional materials are publicly available at https://github.com/mcjy99/multi-route-memory-aodv.  © 2025 IEEE.</t>
  </si>
  <si>
    <t xml:space="preserve">R127</t>
  </si>
  <si>
    <t xml:space="preserve">A Scalable and Energy-Efficient LoRaWAN-Based Geofencing System for Remote Monitoring of Vulnerable Communities</t>
  </si>
  <si>
    <t xml:space="preserve">Ahmed, S.T.; Ahmed, A.A.; Annamalai, A.; Chouikha, M.F.</t>
  </si>
  <si>
    <t xml:space="preserve">10.1109/access.2024.3383778</t>
  </si>
  <si>
    <t xml:space="preserve">With the advent of the Internet of Things (IoT), Long-range Wide Area Networks (LoRaWAN), and high-speed internet, the potential to use such technologies for monitoring remote areas with limited cellular coverage is becoming increasingly important. However, existing remote monitoring solutions rely on cellular networks, which often do not exist or are unreliable in remote communities such as oil &amp; gas and mining sites, livestock farms, and some specialized care clinics for monitoring individuals with Alzheimer's disease. Furthermore, existing LoRa-based systems that are geolocation aware used star network topology, which has been proven to be not scalable to cover remote communities due to maintaining a massive volume of routing tables. This paper introduces a LoRaWAN-based geofencing system designed to address the unique challenges faced by these communities, especially areas with limited cellular coverage. The proposed system uses an optimized version of the Echo protocol to enhance the system's reliability, which runs over a mesh network topology that provides a scalable solution for monitoring remote areas. In particular, we developed a geolocation and geofencing alert system tailored to overcome the limitations of cellular coverage in remote areas. Our system utilized LoRaWAN hardware supported by an optimized Echo protocol in a zero-control mesh network to efficiently detect boundary breaches of the monitored subjects such as cattle, patients with Alzheimer's disease, robots mounted with IoT devices and sensors, etc. Experimental results showed that our system outperformed cellular-based systems regarding energy efficiency and scalability.  © 2013 IEEE.</t>
  </si>
  <si>
    <t xml:space="preserve">R128</t>
  </si>
  <si>
    <t xml:space="preserve">Flooding in LoRa Mesh Networks</t>
  </si>
  <si>
    <t xml:space="preserve">Joy, M.D.J.R.; Branch, P.</t>
  </si>
  <si>
    <t xml:space="preserve">10.1109/itnac62915.2024.10815298</t>
  </si>
  <si>
    <t xml:space="preserve">Although LoRa is most well-known for the substantial distances over which it can transmit, it also has some characteristics that make it attractive as a mesh networking technology. In particular, it overcomes one of the main objections to using flooding as a routing mechanism in mesh networking. Flooding involves each node in the network forwarding a copy of every message it receives. Flooding is robust and simple, but unfortunately, if multiple nodes in the mesh receive a message, it typically results in many copies of the same message being received at the destination. However, a LoRa receiver synchronizes with only one transmitter and treats other messages as noise. Because duplicate messages are ignored, flooding can be designed to be much less wasteful of radio resources than mesh networks based on other wireless technologies. In this paper, we demonstrate that LoRa's physical layer mechanism ensures that only one copy of a message is forwarded by a node, regardless of how many copies it receives. We then present results from a simple LoRa mesh network to demonstrate that, for LoRa nodes, flooding is an efficient method of routing.  © 2024 IEEE.</t>
  </si>
  <si>
    <t xml:space="preserve">R129</t>
  </si>
  <si>
    <t xml:space="preserve">Multi-hop Routing Optimization of Transmission-Line Monitoring Based on the LoRa Technology</t>
  </si>
  <si>
    <t xml:space="preserve">Zhao, Y.; Song, J.; Che, X.</t>
  </si>
  <si>
    <t xml:space="preserve">Proceedings - 2022 IEEE 10th International Conference on Smart City and Informatization, iSCI 2022</t>
  </si>
  <si>
    <t xml:space="preserve">10.1109/isci57775.2022.00011</t>
  </si>
  <si>
    <t xml:space="preserve">As the power transmission network connects the power generation side and power consumption side, the transmission line plays a vital role in the overall stable operation of the power grid. However, because power transmission lines are often distributed in a very harsh environment, they are extremely susceptible to being interfered with by dynamic scenarios and face transmission failures. Therefore, to maintain the power transmission, it is urgent to monitor the status of transmission lines in real time. Traditional communication technologies, such as GPRS, optical fiber, ZigBee, etc. are widely used in power monitoring systems, but their limitations make it difficult to meet the remote monitoring of transmission lines. The long-range (LoRa) technology has the characteristics of wide coverage and low energy consumption, providing an opportunity to make up for the 'last-mile' gap in transmission-line monitoring. The challenges to monitoring the transmission lines are: 1) the nodes far away from the base station need to transmit the data with considerable transmission power; 2) the nodes outside the communication range of the base station cannot successfully send the data to the base station. To address these problems, this paper proposed a multi-hop communication strategy to monitor the status of transmission lines. First, we use a graph to represent the LoRa nodes and transfer the 3-phase line monitoring structure to the 1-phase line monitoring. Second, we construct an energy consumption model for each LoRa node in the multi-hop scenario. Third, we develop a max-min optimization problem to compute a multi-hop scheme for minimizing the overall energy consumption for the transmission-line monitoring and maximizing the transmission range for the base station. Finally, we conduct extensive simulations to analyze the bottleneck of the energy consumption of the overall monitoring system with LoRa and the maximum range that the base station can cover.  © 2022 IEEE.</t>
  </si>
  <si>
    <t xml:space="preserve">R130</t>
  </si>
  <si>
    <t xml:space="preserve">Optimization and Performance Analysis of LoRa-Based Multi-Hop Networks Techniques</t>
  </si>
  <si>
    <t xml:space="preserve">Singh, J.; Patidar, C.P.</t>
  </si>
  <si>
    <t xml:space="preserve">2024 International Conference on Advances in Computing Research on Science Engineering and Technology, ACROSET 2024</t>
  </si>
  <si>
    <t xml:space="preserve">10.1109/acroset62108.2024.10743798</t>
  </si>
  <si>
    <t xml:space="preserve">The Internet of Things is made possible by wireless communication technologies, which are essential for applications ranging from industrial automation to smart cities. In large-scale Internet of Things deployments, Long Range (LoRA) technology has shown promise as a low-power, long-range communication solution. The optimization and performance analysis of LoRa-based multi-hop networks are presented in-depth in this research, with an emphasis on improving scalability, reliability, and efficiency for various Internet of Things applications. The network design consists of gateways acting as middlemen for packet relaying data and nodes outfitted with LoRa transceivers. By ensuring secure communication between nodes and gateways; Rivest, Shamir, Adleman encryption protects the integrity and privacy of data. Important factors including packet delivery ratio, latency, scalability, and robustness are assessed through thorough simulation and analysis. © 2024 IEEE.</t>
  </si>
  <si>
    <t xml:space="preserve">R131</t>
  </si>
  <si>
    <t xml:space="preserve">A 2-hop LoRa approach based on smart and transparent relay-device</t>
  </si>
  <si>
    <t xml:space="preserve">Diop, M.; Pham, C.; Thiaré, O.</t>
  </si>
  <si>
    <t xml:space="preserve">Lecture Notes of the Institute for Computer Sciences, Social-Informatics and Telecommunications Engineering, LNICST</t>
  </si>
  <si>
    <t xml:space="preserve">10.1007/978-3-030-16042-5_3</t>
  </si>
  <si>
    <t xml:space="preserve">LoRa is designed for long-range communication where devices are directly connected to the gateway, which removes typically the need of constructing and maintaining a complex multi-hop network. Nonetheless, even with the advantage of penetration of walls, the range may not sometimes be sufficient. This article describes a 2-hop LoRa approach to reduce both packet losses and transmission cost. To that aim, we introduce a smart, transparent and battery-operated relay-device that can be added after a deployment campaign to seamlessly provide an extra hop between the remote devices and the gateway. Field tests were conducted to assess relays’ ability to automatically synchronize to the network without advertising their presence. © 2019, ICST Institute for Computer Sciences, Social Informatics and Telecommunications Engineering.</t>
  </si>
  <si>
    <t xml:space="preserve">R132</t>
  </si>
  <si>
    <t xml:space="preserve">For an efficient internet of bikes: A DTN routing protocol based on data aggregation approach</t>
  </si>
  <si>
    <t xml:space="preserve">Zguira, Y.; Rivano, H.; Meddeb, A.</t>
  </si>
  <si>
    <t xml:space="preserve">PE-WASUN 2018 - Proceedings of the 15th ACM International Symposium on Performance Evaluation of Wireless Ad Hoc, Sensor, and Ubiquitous Networks</t>
  </si>
  <si>
    <t xml:space="preserve">10.1145/3243046.3243048</t>
  </si>
  <si>
    <t xml:space="preserve">Nowadays, cities are facing an increasing number of bikes used by citizens therefore the need of monitoring and managing their traffic becomes crucial. With the development of Intelligent Transport Systems (ITS) in smart city, public bike sharing system has been considered as an urban transportation system that can collect data from mobile devices. In such network, the biggest challenge for sensor nodes is to forward data to sinks in an energy efficient way because of the following limitations: limited energy resources, limited storage capacity and limited bandwidth. Data aggregation is a key mechanism to save energy consumption and network capacity. It can be defined as an approach to combine data of various sensors into a single packet, thus reducing sensor communication costs and achieving a longer network lifetime. The main contribution of this paper is to introduce an efficient, "Internet of Bikes", IoB-DTN routing protocol based on data aggregation being applied to mobile network IoT devices running a data collection application on urban bike sharing system based sensor network. We propose three variants of IoB-DTN: IoB based on spatial aggregation (IoB-SA), IoB based on temporal aggregation (IoB-TA) and IoB based on spatio-temporal aggregation (IoB-STA). We compare the three variants with the multi-hop IoB-DTN protocol without aggregation and the low-power long-range technology, LoRa type. Comparison results verify that the three variants of IoB-DTN based on data aggregation improve the delivery rate, energy consumption and throughput. © 2018 Association for Computing Machinery.</t>
  </si>
  <si>
    <t xml:space="preserve">R133</t>
  </si>
  <si>
    <t xml:space="preserve">Energy-efficient multi-hop LoRa broadcasting with reinforcement learning for IoT networks</t>
  </si>
  <si>
    <t xml:space="preserve">Chen, X.; Mao, Y.; Xu, Y.; Yang, W.; Chen, C.; Lei, B.</t>
  </si>
  <si>
    <t xml:space="preserve">10.1016/j.adhoc.2024.103729</t>
  </si>
  <si>
    <t xml:space="preserve">Low power wide area networks (LPWAN) have grown significantly in popularity recently, and long-range (LoRa) technologies have drawn notice as a branch of LPWAN. Nevertheless, most current research primarily concentrates on optimizing communication protocols or mechanisms for the LoRa uplink. Considering the demand for large-scale data distribution in the IoT environment, we propose a novel mechanism for LoRa broadcasting with formula derivation and parameter analysis. This scheme adopts the advantages of both LoRa protocols and multi-hop technology that make the data quickly spread to all devices from the center of an area.This scheme optimizes transmission energy consumption by selecting proper relays to alleviate the problem of power shortage in LoRa devices. In this paper, we design an algorithm based on machine learning and reinforcement learning to reduce transmission costs for LoRa devices. The superiority of the proposed scheme in saving communication resources has been demonstrated compared to traditional methods. When broadcasting data downstream, it can save approximately 87.4% of the time. Moreover, through simulation analysis, the proposed algorithm can save at least 12.61% transmitting energy under constraints comparing with the benchmark algorithms. © 2024</t>
  </si>
  <si>
    <t xml:space="preserve">R134</t>
  </si>
  <si>
    <t xml:space="preserve">Synchronous LoRa Mesh Network to Monitor Processes in Underground Infrastructure</t>
  </si>
  <si>
    <t xml:space="preserve">Ebi, C.; Schaltegger, F.; Rust, A.; Blumensaat, F.</t>
  </si>
  <si>
    <t xml:space="preserve">10.1109/access.2019.2913985</t>
  </si>
  <si>
    <t xml:space="preserve">Collecting precise real-time information on urban drainage system performance is essential to identify, predict, and manage critical loading situations, such as urban flash floods and sewer overflows. Although emerging low-power wireless communication techniques allow efficient data transfers with great above-ground performance, for underground or indoor applications in a large coverage range are difficult to achieve due to physical and topological limitations, particularly in dense urban areas. In this paper, we first discuss the range limitations of the LoRaWAN standard based on a systematic evaluation of a long-term operation of a sensor network monitoring in-sewer process dynamics. Analyses reveal an-on average-five-fold higher data packet loss for sub-surface nodes, which steadily grows with increasing distance to the gateway. Second, we present a novel LPWAN concept based on the LoRa technology that enhances transmission reliability, efficiency, and flexibility in range-critical situations through meshed multi-hop routing and ensures a precise time-synchronization through optional GPS or DCF77 long-wave time signaling. Third, we illustrate the usefulness of the newly developed concept by evaluating the radio transmission performance for two independent full-scale field tests. Test results show that the synchronous LoRa mesh network approach clearly outperforms the standard LoRaWAN technique with regard to the reliability of packet delivery when transmitting from range-critical locations. Hence, the approach is expected to generally ease data collection from difficult-to-access locations such as underground areas. © 2013 IEEE.</t>
  </si>
  <si>
    <t xml:space="preserve">R135</t>
  </si>
  <si>
    <t xml:space="preserve">MAGELLAN: A distributed MAB-based algorithm for Energy-Fair and Reliable Routing in Multi-Hop LoRa networks</t>
  </si>
  <si>
    <t xml:space="preserve">Scarvaglieri, A.; Panebianco, A.; Busacca, F.</t>
  </si>
  <si>
    <t xml:space="preserve">Proceedings - IEEE Global Communications Conference, GLOBECOM</t>
  </si>
  <si>
    <t xml:space="preserve">10.1109/globecom52923.2024.10901589</t>
  </si>
  <si>
    <t xml:space="preserve">Long Range (LoRa) technology, with its low-power and long-range communication capabilities, has emerged as a popular choice for Internet of Things (IoT) applications. In spite of its long communication range, single-hop LoRa networks may be extremely inefficient in high path-loss scenarios, such as urban, indoor and underground environments. One solution to this issue is to instead resort to multi-hop LoRa networks. However, the routing of the generated packets towards the LoRa network gateway poses several challenges, such as balancing the network energy consumption, minimizing the number of hops, and selecting high-quality paths towards the gateway. One way to solve this issue is to implement distributed smart algorithms that can efficiently address all this aspects in a reliable and fully-scalable way. In this regard, this paper introduces MAGELLAN, a novel routing algorithm for multi-hop LoRa networks based on Multi-Armed Bandit (MAB) learning. MAGELLAN aims to achieve efficient packet delivery while minimizing the number of hops and fairly distributing the energy consumption across the network. We have conducted an extensive numerical evaluation by using the LoRaEnergySim simulator, and compared MAGELLAN against various routing approaches, including LMHP, a state-of-the-art routing algorithm. The results show that MAGELLAN achieves a superior performance in terms of energy-fairness and Packet Delivery Ratio (PDR), therefore improving the network lifetime and performance. More in detail, MAGELLAN achieves a reduction of up to 10% in the energy consumption as compared to a the random approach, and of to 14% in the PDR as compared to LMHP approach. © 2024 IEEE.</t>
  </si>
  <si>
    <t xml:space="preserve">R136</t>
  </si>
  <si>
    <t xml:space="preserve">The Design and Development of LoRa-LoRaWAN Wireless Network Infrastructure with Multi-Hop Capability</t>
  </si>
  <si>
    <t xml:space="preserve">Wibawa, Y.P.; Samudro, M.; Suwandi, B.; Herminawan, F.W.; Yogiswara, I.P.A.; Putra, D.B.; Fitriani, R.; Yogantara, W.W.</t>
  </si>
  <si>
    <t xml:space="preserve">Proceeding - 2024 International Conference on Radar, Antenna, Microwave, Electronics, and Telecommunications, ICRAMET 2024</t>
  </si>
  <si>
    <t xml:space="preserve">10.1109/icramet62801.2024.10809301</t>
  </si>
  <si>
    <t xml:space="preserve">Typically, a wireless mesh network supports multi- hop communication, enhancing data delivery reliability and broader area coverage at a low cost. LoRa, a digital and low- speed communication medium, is not designed to perform these capabilities by default. However, in some conditions, a multi- hop LoRa technology is needed, especially for application in areas with many obstacles and remote areas. To address this issue, this paper discusses designing and implementing a multihop LoRa protocol integrated with LoRaWAN. The multi-hop system increases the success rate of data transmission from the farthest node to the gateway up to 9 4. 0 2 %, which cannot be achieved without multi-hop. In the multi-hop setup, repeater nodes relay the LoRa device signals to subsequent LoRa devices until reaching the gateway. The tests demonstrate how messages flow from the transmitter node to the gateway, which is then forwarded to the LoRaWAN network services without requiring hardware modifications. The tests were conducted indoors under conditions with and without obstacles. © 2024 IEEE.</t>
  </si>
  <si>
    <t xml:space="preserve">R137</t>
  </si>
  <si>
    <t xml:space="preserve">Implicit Overhearing Node-Based Multi-Hop Communication Scheme in IoT LoRa Networks</t>
  </si>
  <si>
    <t xml:space="preserve">10.3390/s23083874</t>
  </si>
  <si>
    <t xml:space="preserve">Long range (LoRa) is a low-power wide-area technology because it is eminent for robust long-distance, low-bitrate, and low-power communications in the unlicensed sub-GHz spectrum used for the Internet of things (IoT) networks. Recently, several multi-hop LoRa networks have proposed schemes with explicit relay nodes to partially mitigate the path loss and longer transmission time bottlenecks of the conventional single-hop LoRa by focusing more on coverage expansion. However, they do not consider improving the packet delivery success ratio (PDSR) and the packet reduction ratio (PRR) by using the overhearing technique. Thus, this paper proposes an implicit overhearing node-based multi-hop communication (IOMC) scheme in IoT LoRa networks, which exploits implicit relay nodes for performing the overhearing to promote relay operation while satisfying the duty cycle regulation. In IOMC, implicit relay nodes are selected as overhearing nodes (OHs) among end devices with a low spreading factor (SF) in order to improve PDSR and PRR for distant end devices (EDs). A theoretical framework for designing and determining the OH nodes to execute the relay operations was developed with consideration of the LoRaWAN MAC protocol. Simulation results verify that IOMC significantly increases the probability of successful transmission, performs best in high node density, and is more resilient to poor RSSI than the existing schemes. © 2023 by the authors.</t>
  </si>
  <si>
    <t xml:space="preserve">R138</t>
  </si>
  <si>
    <t xml:space="preserve">Multi-Hop LoRa Networks Enabled by Concurrent Transmission</t>
  </si>
  <si>
    <t xml:space="preserve">Liao, C.-H.; Zhu, G.; Kuwabara, D.; Suzuki, M.; Morikawa, H.</t>
  </si>
  <si>
    <t xml:space="preserve">10.1109/access.2017.2755858</t>
  </si>
  <si>
    <t xml:space="preserve">In this paper, we strive to construct an efficient multi-hop network based on the sub-GHz low-power wide-area technology. Specifically, we investigate the combination of LoRa, a physical-layer standard that can provide several-kilometer outdoor coverage, and concurrent transmission (CT), a recently proposed multi-hop protocol that can significantly improve the network efficiency. The main contributions of this paper are threefold. 1) Since the CT enhances the network efficiency by allowing synchronized packet collisions, the performance of the physical-layer receiver under such packet collisions needs to be carefully examined to ensure the network reliability. We first extensively evaluate the LoRa receiver performance under CT to verify that LoRa is compatible to CT. Specifically, we find that, due to the time-domain and frequency-domain energy spreading effect, LoRa is robust to the packet collisions resulting from CT. 2) We further find the receiver performance under CT can be further improved by introducing timing offsets between the relaying packets. In view of this, we propose a timing delay insertion method, the offset-CT method, that adds random timing delay before the packets while preventing the timing offset from diverging over the multi-hop network. 3) We conduct proof-of-concept experiments to demonstrate the feasibility of CT-based LoRa multi-hop network and the performance improvement brought by the proposed offset-CT method. © 2013 IEEE.</t>
  </si>
  <si>
    <t xml:space="preserve">R139</t>
  </si>
  <si>
    <t xml:space="preserve">LoRaHop: Multihop Support for LoRaWAN Uplink and Downlink Messaging</t>
  </si>
  <si>
    <t xml:space="preserve">Tian, P.; Boano, C.A.; Ma, X.; Wei, J.</t>
  </si>
  <si>
    <t xml:space="preserve">10.1109/jiot.2023.3263630</t>
  </si>
  <si>
    <t xml:space="preserve">LoRaWAN is one of the most popular protocols to build low-power wide area networks. Unfortunately, it adopts a star topology, which limits network coverage and may also cause an unnecessary decrease in energy efficiency as well as scalability. In fact, end-devices that are deployed far away from a gateway need to increase their transmission power or spreading factor (SF) to sustain reliable communications, which increases their energy expenditure as well as the size of the collision domain. The only alternative is the deployment of additional gateways or dedicated relay nodes, which results in higher costs and deployment efforts. In this work, we introduce LoRaHop, an extension of LoRaWAN that enriches end-devices with the ability to form a mesh network and to seamlessly relay packets to/from a gateway, thereby providing LoRaWAN networks with multihop support for both uplink and downlink messaging. LoRaHop leverages concurrent transmissions to enable a reliable and efficient data collection or dissemination over the mesh network, as well as to simplify network formation. Furthermore, LoRaHop embeds a mechanism that simplifies rendezvous across devices and that minimizes the impact of mesh operations on existing LoRaWAN transmissions. We implement LoRaHop on off-The-shelf LoRa end-devices (ensuring their interoperability with commercial LoRaWAN gateways and network servers), and evaluate its performance on an outdoor testbed. Our results show that LoRaHop can effectively extend the coverage of an LoRaWAN network while improving reliability by up to 98.33% and reducing energy consumption by up to 48.02%. Our findings further demonstrate that using LoRaHop to create a multihop LoRaWAN network that communicates using low SFs brings significant benefits in terms of energy efficiency and scalability compared to the use of a single-hop LoRaWAN network using high SFs. © 2014 IEEE.</t>
  </si>
  <si>
    <t xml:space="preserve">R140</t>
  </si>
  <si>
    <t xml:space="preserve">Implementation of a LoRa Mesh Library</t>
  </si>
  <si>
    <t xml:space="preserve">Sole, J.M.; Centelles, R.P.; Freitag, F.; Meseguer, R.</t>
  </si>
  <si>
    <t xml:space="preserve">10.1109/access.2022.3217215</t>
  </si>
  <si>
    <t xml:space="preserve">LoRa is a popular communication technology in the Internet of Things (IoT) domain, providing low-power and long-range communications. Most LoRa IoT applications use the LoRaWAN architecture, which builds a star topology between LoRa end nodes and the gateway they connect to. However, LoRa can also be used for the communication between end nodes themselves, forming a mesh network topology. In this paper, we present a library that allows to integrate LoRa end nodes into a LoRa mesh network, in which a routing protocol is used. Thus, an IoT application running on these nodes can use the library to send and receive data packets to and from other nodes in the LoRa mesh network. The designed routing protocol is proactive, and maintains the routing table at each node updated by sending routing messages between neighboring nodes. The implemented library has been tested on embedded boards featuring an ESP32 microcontroller and a LoRa single-channel radio. By using our LoRa mesh library, nodes do not need to connect to a LoRaWAN gateway, but among themselves. This opens the possibility for new, distributed applications solely built upon tiny IoT nodes.  © 2013 IEEE.</t>
  </si>
  <si>
    <t xml:space="preserve">R141</t>
  </si>
  <si>
    <t xml:space="preserve">Information technology sets formation and "TNTU Smart Campus" services network support</t>
  </si>
  <si>
    <t xml:space="preserve">Duda, O.; Mykytyshyn, A.; Mytnyk, M.; Stanko, A.</t>
  </si>
  <si>
    <t xml:space="preserve">CEUR Workshop Proceedings</t>
  </si>
  <si>
    <t xml:space="preserve">Large cities in the modern world are high-tech innovative socio-economic centers that generate complex population migration processes and increase their demand for resources. Those are complex systems where various entities interact and within which residents and visitors of the city interact with these systems every day. This interaction is accompanied by the city systems and processes continuous measurement state through a large number of sensors and devices integrated into extensive network technology platforms. The following document describes the features of cyber-physical systems and communication networks used in practical smart city projects. Based on the analysis of cyber-physical systems used in smart cities, their classification has been developed and presented in graphic form. A smart cities functional model has also been developed. It is based on cyber-physical systems that can measure and control the air environment parameters of smart buildings. The communication networks classification and features used in smart cities cyber-physical systems are studied. A developed method allows the information and technical set general structure creation for the services and applications formation based on smart cities cyber-physical systems. On the DaaS model basis, the NDN network structure has been developed which allows the network measurement and the air quality regulation in the "TNTU Smart Campus". For this is used a IoT devices mesh network operating under the LoRa 433 MHz protocol. Two ways of choosing paths between the "Producer" and "Consumer" of data are proposed: reactive and proactive. © 2023 CEUR-WS. All rights reserved.</t>
  </si>
  <si>
    <t xml:space="preserve">R142</t>
  </si>
  <si>
    <t xml:space="preserve">Experiment on Multi-hop LoRa for Tracking Application</t>
  </si>
  <si>
    <t xml:space="preserve">Sagala, A.; Lubis, R.; Silalahi, G.; Ginting, E.V.; Simorangkir, A.J.D.</t>
  </si>
  <si>
    <t xml:space="preserve">International Journal of Sensors, Wireless Communications and Control</t>
  </si>
  <si>
    <t xml:space="preserve">10.2174/2210327913666230217150456</t>
  </si>
  <si>
    <t xml:space="preserve">Background: The Internet of Things (IoT) is an embryonic model that converts real-world things (objects) into smarter devices. IoT is applicable to a variety of application domains, including healthcare, smart grid, and agriculture. Low Power Wide Area Network (LPWAN) technology can transmit data over long distances with a low data rate without using the internet. There-fore, this technology is suitable for sending sensor measurement data in Internet of Things (IoT) applications. LPWANs, such as LoRa, use a star topology to reach their coverage to the maximum power that can be transmitted, considering the environmental conditions in the test area and the LoRa parameters used. Whereas for application development in rural areas, there is no internet connection, and often longer coverage is required from the sensor node to the gateway. Objective: This study aims to increase the transmission range from the end node to the gateway by adding an intermediate node. It is used as a relay from the end node to the gateway. Method: Static routing was applied so that any broadcast data from the end node would be for-warded first to the intermediate node and then to the gateway. Results: The LoRa transmission range expanded by changing the topology from peer-to-peer to multi-hop. An intermediate node between the transmitter (end node) and the gateway is available. In the experiment performed, a multi-hop with static routes successfully expanded the distance from 150 meters (single hop) to 250 meters (multi-hop), with a packet delivery ratio of 97%. In this experiment, GPS Ublox Neo was used for the sensor position and was successfully tested on the end node with an accuracy rate of 2.4% for latitude and 0.2% for longitude. Conclusion: The transmission range from the sensor node to the gateway can be extended using static routing by installing an intermediate node between the gateway and the sensor node. The data from the end node is successfully received by the gateway. © 2023 Bentham Science Publishers.</t>
  </si>
  <si>
    <t xml:space="preserve">R143</t>
  </si>
  <si>
    <t xml:space="preserve">Clustering-Based Layering Approach for Uplink Multi-Hop Communication in LoRa Networks</t>
  </si>
  <si>
    <t xml:space="preserve">IEEE Networking Letters</t>
  </si>
  <si>
    <t xml:space="preserve">10.1109/lnet.2020.3003161</t>
  </si>
  <si>
    <t xml:space="preserve">LoRa is the most popular low-power wide-area networking (LPWAN) technology, and typically it uses LoRaWAN as the MAC layer. Usually, LoRaWAN forms a single-hop network. LoRa supports customization of transmission parameters, such as, bandwidth, spreading factor, and coding rate. Hence, a single-hop LoRaWAN network's coverage can be increased at the expense of higher energy consumption and lower data rate. However, there are a few issues: (${i}$) there is an upper bound on a single-hop network's coverage, (ii) high throughput and large coverage can not be achieved simultaneously, and (iii) most importantly high energy consumption is generally not an option in IoT use cases. Here, a multi-hop uplink communication scheme is presented that exploits LoRa's ability to customize its transmission parameters and combine it with a novel routing protocol to eliminate the mentioned shortcomings. In simulation-based studies the proposed protocol uses LoRa's fastest data rate setting, however its coverage is lower than the LoRa's PHY layer setting recommended in LoRaWAN specification. Hence, a network's coverage is extended through multi-hop communication. Results have shown that the proposed uplink multi-hop communication scheme outperforms LoRaWAN and a state-of-the-art routing protocol for low-power wireless networks. The proposed protocol demonstrated nearly 20 times higher packet delivery ratio, and 60% lower energy consumption.  © 2019 IEEE.</t>
  </si>
  <si>
    <t xml:space="preserve">R144</t>
  </si>
  <si>
    <t xml:space="preserve">Enabling LoRa energy awareness: A Multihop One-Hop Routing Protocol for Prolonging Network Lifetime</t>
  </si>
  <si>
    <t xml:space="preserve">Katsidimas, I.; Manolopoulos, A.-I.; Nikoletseas, S.</t>
  </si>
  <si>
    <t xml:space="preserve">Proceedings - 19th International Conference on Distributed Computing in Smart Systems and the Internet of Things, DCOSS-IoT 2023</t>
  </si>
  <si>
    <t xml:space="preserve">10.1109/dcoss-iot58021.2023.00070</t>
  </si>
  <si>
    <t xml:space="preserve">IoT applications often rely on battery-powered nodes that may be challenging to recharge, making energy efficiency a crucial concern. In this context, routing protocols play a vital role as they dictate the paths data packets take between nodes, directly influencing the energy consumption of IoT networks. Energy-aware routing protocols have been proposed to address this issue, with the aim of optimizing energy consumption by selecting paths that minimize the energy required for data transmission and reception. These protocols employ various strategies, such as distance-based, traffic-based, and hybrid schemes, to achieve energy efficiency in IoT networks. LoRaWAnprotocol has been adopted for various IoT applications with requirements in low-power and extended coverage. Over the recent years attempts have been made to replace the typical star topology employed by LoRa with multihop solutions, in an effort to further increase its capabilities. In this paper, we present a multihop algorithm that is based on an energy-balanced routing scheme adopted by LoRa nodes to increase energy efficiency and network lifetime. Multiple one-hop routes are configured for critical nodes and a different route is selected in each transmission. Additionally, critical nodes adjust their Spreading Factor and Transmission Power according to the distance of intermediate nodes. Simulation testing results verify the improved performance of our algorithm over the direct link approach.  © 2023 IEEE.</t>
  </si>
  <si>
    <t xml:space="preserve">R145</t>
  </si>
  <si>
    <t xml:space="preserve">LoRa-Based Smart Energy Metering and Secure Billing System for Rural Areas</t>
  </si>
  <si>
    <t xml:space="preserve">Esai Vel Murugan, S.; Balaji, T.V.; Gurubaran, R.; Jayapalan, B.; Vivin, A.T.</t>
  </si>
  <si>
    <t xml:space="preserve">Proceedings - International Research Conference on Smart Computing and Systems Engineering, SCSE 2025</t>
  </si>
  <si>
    <t xml:space="preserve">10.1109/scse65633.2025.11031068</t>
  </si>
  <si>
    <t xml:space="preserve">This paper introduces the use of smart meters integrated with rural electricity billing systems that use Long Range connectivity. It discusses the simulation of the network using Network Simulator 2. The network being simulated consists of multiple end nodes, which are basically houses in a village. Every village has a substation that collects data from these end nodes. The network utilizes a star topology for local regions and uses mesh topology for far places. For error-free transfer of data, the system relies on TCP and further optimizes paths of communication through an AODV routing protocol. Data received from the end nodes is sent to the cloud, where the Advanced Encryption Standard (AES) protects sensitive information such as service numbers and payment details. Authorized personnel can securely access the system for billing processing on the cloud server. The system's network performance was measured with the help of NS2 simulations using different loads and environmental conditions. The significant metrics for evaluation were throughput, delay, packet loss, delivery ratio, and queue utilization. The results provided efficient data transfer with little or no delays and losses, and this confirms that the designed communication protocols are reliable and safe. The conclusion drawn from this research is that advanced communication protocols, strong encryption, and efficient routing facilitate smart metering, thereby improving the rural energy billing system significantly.  © 2025 IEEE.</t>
  </si>
  <si>
    <t xml:space="preserve">R146</t>
  </si>
  <si>
    <t xml:space="preserve">LoRa Mesh-based smart medical measurement system</t>
  </si>
  <si>
    <t xml:space="preserve">Liang, H.; Jian, M.; Liu, J.; Liu, Y.; Xu, Y.; Liu, Y.</t>
  </si>
  <si>
    <t xml:space="preserve">Journal of Electronic Measurement and Instrumentation</t>
  </si>
  <si>
    <t xml:space="preserve">10.13382/j.jemi.b2508460</t>
  </si>
  <si>
    <t xml:space="preserve">A smart medical measurement system based on LoRa Mesh was designed to address the need for synchronized monitoring of physiological parameters and environmental factors in chronic disease management. The system employs the RadioHead protocol stack to achieve self-organized multi-hop mesh communication and is deployed within an endocrinology ward, integrating environmental sensing with patient health monitoring. Data from wearable terminals and environmental nodes are transmitted via LoRa modules to a central gateway and uploaded to a cloud server for storage and visualization. By extending the LoRaMeshSim simulation platform, the system was tested in a hospital scenario with 74 nodes distributed across 18 rooms and corridors, under varying payload lengths (30, 90, and 150 bytes) and transmission rates (1 to 26 packets per hour). Simulation results showed that the delivery rate remained above 99. 5% when the packet generation rate was 1 packet per hour, but dropped to approximately 83. 2% at 26 packets per hour. Moreover, increasing the packet length significantly elevated collision occurrences, with 150-byte packets encountering approximately 2. 1 times more collisions than 30-byte packets. The analysis demonstrates that the proposed system maintains good stability and scalability under moderate to low data loads, while signal collisions and transceiver contention become critical challenges at higher loads. Future work will focus on introducing adaptive spreading factor adjustments and intelligent routing algorithms to further enhance the system’s reliability and energy efficiency. In addition, a small-scale LoRa Mesh network was physically deployed in a laboratory setting to experimentally validate the system’ s communication reliability and practical applicability. © 2025 Editorial Office of EMI Journal. All rights reserved.</t>
  </si>
  <si>
    <t xml:space="preserve">R147</t>
  </si>
  <si>
    <t xml:space="preserve">Resilient IoT Disaster Communication using Adaptive AODV Routing in LoRa Mesh Networks</t>
  </si>
  <si>
    <t xml:space="preserve">Usha, S.; Karthik, M.; Sanmugapriya, G.; Vignesh, E.G.; VenuPrasaath, V.R.; Aksharaa, B.</t>
  </si>
  <si>
    <t xml:space="preserve">2026 9th International Conference on Intelligent Computing and Control Systems, ICICCS 2026</t>
  </si>
  <si>
    <t xml:space="preserve">10.1109/iciccs67901.2026.11502757</t>
  </si>
  <si>
    <t xml:space="preserve">The natural disasters such as floods, earthquakes, and cyclones have the potential of devastating the normal communication systems; hence information flow is very crucial in rescue and relief operations. The project involves a LoRabased mesh network, which will be used to create a natural disaster communication system with a long-range and lowpower communication that will not rely on infrastructures to send data. The suggested system would be made of LoRaequipped nodes installed throughout the impacted area and create a self-organizing multi-hop mesh network. The nodes can detect and transmit important information including environmental information, location information and emergency alerts and pass information of the neighbouring nodes to ensure network connectivity, even when a node or a link fails to operate. A gateway node collects the transmitted data and sends the data to a local server where it is processed, stored, and visualized. It includes a graphical user interface (GUI) through which you can monitor the health of the network, the state of nodes, signal strength, and disasters and receive alerts in real-time. The system has been designed keeping in mind robustness, scalability, and power consumption; hence, the system is ideal in places where rapid deployment is necessary, or remote locations where disasters are likely to plague. The offered LoRa-based mesh network offers an option to have a decentralized data structure that guarantees situational data backup and emergency response in case of natural disasters. The performance of the proposed system is evaluated through the experimental setup consists of three nodes. © 2026 IEEE.</t>
  </si>
  <si>
    <t xml:space="preserve">R148</t>
  </si>
  <si>
    <t xml:space="preserve">Multicast Routing Protocol for LoRa Mesh Networks in Safety Critical Communications</t>
  </si>
  <si>
    <t xml:space="preserve">Stefano, R.D.; Marignetti, F.</t>
  </si>
  <si>
    <t xml:space="preserve">10.1007/978-3-030-37161-6_55</t>
  </si>
  <si>
    <t xml:space="preserve">The risk reduction, in case of catastrophic events, is strongly conditioned by the possibility of performing mechanical actuation in extreme conditions and without electric energy. Many devices, which implement security features and fulfill these specifications, are on the market, however the capability to transfer data and information through reliable technologies is also required in order to monitor and coordinate the safety systems. A possible candidate that could provide a communication link, even in the absence of electricity, is LoRa technology, even if it has some problems and limitations mainly due to the topological configuration of the LoRaWAN communication network and the increasing number of devices and users. This paper reports a proposal to improve the reliability of LoRa data transfer in very severe environmental conditions and on large areas. Some accurate simulations conducted on a LoRa network, make it possible to verify the effectiveness of the proposed communication strategy. © Springer Nature Switzerland AG 2020.</t>
  </si>
  <si>
    <t xml:space="preserve">R149</t>
  </si>
  <si>
    <t xml:space="preserve">Implementation and Application of Wireless Node Device AD Hoc Network Technology Based on LoRa Communication</t>
  </si>
  <si>
    <t xml:space="preserve">Gao, F.; Dong, J.; Yin, M.; Tang, X.</t>
  </si>
  <si>
    <t xml:space="preserve">Proceedings - 2023 8th Asia Conference on Power and Electrical Engineering, ACPEE 2023</t>
  </si>
  <si>
    <t xml:space="preserve">10.1109/acpee56931.2023.10135768</t>
  </si>
  <si>
    <t xml:space="preserve">In order to ensure that wireless node devices access enough terminal sensors in the sensing layer and establish a wireless terminal network based on LoRa to provide continuous sensing data for the upper layer, a hardware architecture scheme of high-performance processor + cortex-M4 dual processor is proposed, accurate slot allocation and scheduling algorithm is designed to realize terminal access technology, and unordered tree data structure is used to construct wireless network routing algorithm to realize ad hoc network technology. The wireless node equipment can support 4000 sensor terminals to access, has accurate DRX scheduling, multi-hop can reach more than 10 levels, and can meet various application scenarios of power transmission and transformation. By using networking technology, wireless node equipment can realize the networking of terminal devices through walls and send sensing data, which brings convenience to site construction, reduces the maintenance cost after system operation, and promotes the more intelligent and networked development of the wireless sensing system. © 2023 IEEE.</t>
  </si>
  <si>
    <t xml:space="preserve">R150</t>
  </si>
  <si>
    <t xml:space="preserve">Design and Deployment of Mobile Air Quality Monitoring System Using Node-RED and MQTT</t>
  </si>
  <si>
    <t xml:space="preserve">Huy, N.D.; Thanh, T.P.; Trong, T.H.; Viet, H.D.; Huu, P.N.</t>
  </si>
  <si>
    <t xml:space="preserve">2025 IEEE Workshop on Signal Processing Systems, SiPS 2025</t>
  </si>
  <si>
    <t xml:space="preserve">10.1109/sips66314.2025.11261304</t>
  </si>
  <si>
    <t xml:space="preserve">In response to the growing concern over air pollution in urban areas, this paper presents the design and validation of a mobile air quality monitoring system. The system integrates multiple environmental sensors to measure PM1.0, PM2.5, PM10, CO, NO2, SO2, and O3, along with temperature and humidity. Each mobile station is built on ESP32 microcontrollers and communicates via Long Range (LoRa) modules; multi-hop routing is enabled by the Ad-hoc On-Demand Distance Vector (AODV) protocol. Data are aggregated at a gateway and uploaded to a cloud-based Message Queuing Telemetry Transport (MQTT) broker, with real-time visualization using Node-RED. Unlike prior implementations that rely on fixed gateways or single-hop links, this study contributes a reproducible framework and a real-world validation of AODV-enabled LoRa for mobile urban sensing. Experiments with multiple mobile nodes in city environments demonstrate reliable communication (95% message success rate, ≈120 ms latency), accurate pollutant measurements, and seamless cloud integration. The paper offers methodological insights into routing robustness and energy-aware design, bridging experimental networking research and deployable environmental monitoring.  © 2025 IEEE.</t>
  </si>
  <si>
    <t xml:space="preserve">R151</t>
  </si>
  <si>
    <t xml:space="preserve">Multi-Criteria Optimization Mechanisms for LoRa Network Topologies</t>
  </si>
  <si>
    <t xml:space="preserve">Piechowiak, M.; Zwierzykowski, P.; Graul, C.</t>
  </si>
  <si>
    <t xml:space="preserve">10.3390/electronics15091872</t>
  </si>
  <si>
    <t xml:space="preserve">LoRa mesh networks enable long-range, low-power connectivity but are constrained by very low bitrate, spreading-factor-specific SNR thresholds, and regional duty-cycle limits. This article presents a snapshot routing framework that separates feasibility from optimality. Feasibility is enforced as hard constraints-only radio options that satisfy SNR thresholds (with safety margin) and fit within remaining duty windows, which are admitted using an Okumura–Hata backbone with a model-agnostic specialization for link geometry. Optimality is achieved on a spreading-factor-expanded directed graph, where each feasible SF is represented as a distinct edge, and a composite, dimensionless hop metric balances airtime-driven energy expenditure, current and incremental duty usage, and optional quality penalties. The method yields per-hop SF selection via shortest-path computation and supports rapid re-planning without event-level simulation. Snapshot-based evaluation indicates improved control of airtime, duty exposure, and energy, providing a practical basis for multi-criteria routing in LoRa mesh networks with applicability to airborne and infrastructure-sparse deployments. © 2026 by the authors.</t>
  </si>
  <si>
    <t xml:space="preserve">R152</t>
  </si>
  <si>
    <t xml:space="preserve">LoRa Mesh for Large-Scale Networks: A Systematic Review of Routing, Energy, Coverage Distance, and Open Research Challenges</t>
  </si>
  <si>
    <t xml:space="preserve">Kadhem, M.A.; Al-Libawy, H.</t>
  </si>
  <si>
    <t xml:space="preserve">Proceedings of the 18th International Conference on Electronics, Computers and Artificial Intelligence, ECAI 2026</t>
  </si>
  <si>
    <t xml:space="preserve">10.1109/ecai69016.2026.11613664</t>
  </si>
  <si>
    <t xml:space="preserve">The existing LoRaWAN networks face problems because they can only operate in short distances, and they use one single transmission path which prevents their use in areas with remote locations or physical obstacles. This paper offers a complete assessment of how LoRaWAN technology developed from its initial single-hop system to its current multi-hop and mesh network structure. The study evaluates the routing performance and energy usage, modulation settings, and network expansion capabilities of LoRaWAN and LoRa Mesh systems. The study looks at how Spreading Factor (SF) and Chirp Spread Spectrum (CSS) modulation settings impact the distance transmission and data transmission capacity of LoRa devices. The review examines recent research on LoRa mesh networks that were published between 2022 and 2026, focusing specifically on the comparative findings that other studies reported. The surveyed systems utilize multi-hop communication as their primary method to increase coverage across different areas which includes 3 to 10 hops and beyond 10 hops. The reviewed studies demonstrate that adaptive spreading factor selection, commonly between SF7 and SF12, plays a key role in balancing transmission range and energy consumption. The majority of research studies utilize either energy-aware routing or lightweight routing systems, which enable them to communicate over distances of a few kilometers up to more than ten kilometers while using minimal power. Through a detailed review of existing routing protocols including reactive, proactive, and hybrid approaches. From the analysis of previous studies, we conclude that the spreading factor is directly proportional to the communication distance; specifically, the transmission range extends with each increasing spreading factor, while the higher spreading factor values enhance the ability to detect signals in very noisy conditions. © 2026 IEEE.</t>
  </si>
  <si>
    <t xml:space="preserve">R153</t>
  </si>
  <si>
    <t xml:space="preserve">Introducing scalability in LoRa-based networks through multi-hop communication setups</t>
  </si>
  <si>
    <t xml:space="preserve">10.1109/globecom38437.2019.9013315</t>
  </si>
  <si>
    <t xml:space="preserve">The long range and low-power operation of Low- Power Wide-Area Network (LPWAN) communication technologies make them an attractive choice for many Internet of Things (IoTs) use cases. Among existing LPWAN technologies, Long Range (LoRa) is most popular. LoRa PHY layer supports a number of communication settings. The PHY layer settings impact coverage, reliability, and energy consumption. LoRaWAN is the standard MAC layer for LoRa, and the LoRaWAN documentation recommends using LoRa PHY layer setting that provides long range and higher resilience against interference. However, the communication setting's long range and higher resilience against interference result in higher energy consumption and lower data rate. There also exists the LoRa PHY layer communication setting that can yield fastest data rate and low energy consumption, however it reduces coverage and reliability. As the fastest data rate setting results in shorter coverage and lower energy consumption, therefore here we investigate the use of multi- hop communication along with the fastest data rate setting to exactly match the coverage of LoRa PHY layer setting recommended by LoRaWAN. We extensively evaluated our multi-hop communication setups against the LoRaWAN communication setup and its recommended PHY layer communication setting. In our experiments, we analyze the impact of different data traffic generation models and different node densities on a LoRa network's performance. Moreover, we also analyze the impact of the number of relaying nodes at different multi-hop levels on a network's throughput, reliability, and energy consumption. Our results demonstrate that our multi-hop communication setups can provide up to 13 times higher packet delivery ratio and up to 60% lower energy consumption compared to the LoRaWAN communication setup and its recommended communication setting. © 2019 IEEE.</t>
  </si>
  <si>
    <t xml:space="preserve">R154</t>
  </si>
  <si>
    <t xml:space="preserve">Multi-Hop LoRa-based underground network for monitoring soil moisture in agriculture</t>
  </si>
  <si>
    <t xml:space="preserve">Cotrim, R.; Assis, F.; dos Santos Brito, A.; Peixouto, Y.S.; Peixouto, L.S.</t>
  </si>
  <si>
    <t xml:space="preserve">Computers and Electronics in Agriculture</t>
  </si>
  <si>
    <t xml:space="preserve">10.1016/j.compag.2024.109592</t>
  </si>
  <si>
    <t xml:space="preserve">Wireless underground sensor networks (WUSN) have gained attention due to the benefits they can bring to many application areas, in particular, to agriculture. However, designing and evaluating WUSNs is more complex than conventional over-the-air wireless networks, especially when the WUSNs have buried nodes. The study of the possibilities and limits of these networks is an active area of research. In this paper we describe a LoRa-based multi-hop WUSN for monitoring soil moisture for an application in agriculture being developed to investigate the behaviour of different species of mamona (Ricinus communis L.) under different soil moisture levels. We first evaluate the use of LoRa for underground-to-underground (UG2UG) communication links and show how different values of the main LoRa parameters affect the quality of these links. Based on the results, we designed a network whose topology is a set of lines of buried sensor nodes covering the whole application area. In this paper we describe the behaviour of one of these lines in a real setting in terms of packet delivery ratio and delay and we estimate the energy consumed for communication. Our protocol provides an inherent level of fault-tolerance by exploring the linear topology. In our experiments, a 100% message delivery ratio was achieved. Additionally, the maximum round-trip delay was less than 200 s. The network satisfies the application message transmission requirement of one message per hour per node by scheduling communication over the six sensor lines needed to cover the whole experiment area in a round-robin fashion. Our main contributions lie in the evaluation of different parameters of LoRa in underground communication and in the development and analysis of a multi-hop routing protocol for a network of buried nodes in a real setting. We are not aware of any other work that addresses these specific issues. © 2024 Elsevier B.V.</t>
  </si>
  <si>
    <t xml:space="preserve">R155</t>
  </si>
  <si>
    <t xml:space="preserve">LoRa mesh network with beaglebone black</t>
  </si>
  <si>
    <t xml:space="preserve">Chakravarty, S.; Hopkins, A.</t>
  </si>
  <si>
    <t xml:space="preserve">Proceedings of the World Conference on Smart Trends in Systems, Security and Sustainability, WS4 2020</t>
  </si>
  <si>
    <t xml:space="preserve">10.1109/worlds450073.2020.9210343</t>
  </si>
  <si>
    <t xml:space="preserve">This paper investigates the use of BeagleBone Black Wireless single-board Linux computers with Long Range (LoRa) transceivers to send and receive information in a mesh network while one of the transmitting/receiving nodes is acting as a relay in the system. An experiment is conducted to examine how long each LoRa node needed to learn the transmission intervals of any other transmitting nodes on the network and to synchronize with the other nodes prior to transmission. The spread factor, bandwidth, and coding rate are all varied for a total of 18 different combinations. A link to the Python code used on the BeagleBone Black is provided at the end of this paper. The best parameter combinations for each individual node and for the system as a whole is investigated. Additional experiments and applications of this technology are explored in the conclusions. © 2020 IEEE.</t>
  </si>
  <si>
    <t xml:space="preserve">R156</t>
  </si>
  <si>
    <t xml:space="preserve">A Standalone LoRa Mesh Network with LoRa-Optimized AODV and End-to-End Encrypted Payloads on MCU-Class Devices</t>
  </si>
  <si>
    <t xml:space="preserve">Jezzini, T.; Alwan, M.</t>
  </si>
  <si>
    <t xml:space="preserve">2026 IEEE 5th International Multidisciplinary Conference on Engineering Technology, IMCET 2026</t>
  </si>
  <si>
    <t xml:space="preserve">10.1109/imcet69180.2026.11503782</t>
  </si>
  <si>
    <t xml:space="preserve">Low-power long-range (LoRa) radios are attractive for communication in disaster zones, rural regions, and infrastructure-poor environments, but LoRa's extremely low bitrate, lack of native routing, and limited built-in end-to-end protection for standalone multi-hop operation limit its ability to form reliable mesh networks. This paper presents RelayCom, a fully standalone LoRa mesh system running on ultra-constrained microcontrollers (Arduino Nano + RYLR890) and providing end-to-end payload confidentiality, while embedding a LoRa-aware AODV routing optimization that significantly reduces control overhead. Unlike classical AODV, RelayCom introduces a unicast-first RREQ strategy, falling back to broadcast only after a timeout, preserving LoRa bandwidth and reducing collision probability. RelayCom integrates AES-CTR encryption at the firmware level to provide payload confidentiality across multi-hop forwarding. A complete modular firmware (LoRa handler, routing manager, state machine, and message buffer) is implemented and evaluated across multiple routing scenarios. Experimental results using a real three-node testbed demonstrate successful multi-hop route discovery, encrypted message forwarding, reduced route-discovery broadcast transmissions, and robust operation under constrained radio conditions. RelayCom illustrates a practical and low-cost blueprint for resilient, confidentiality-preserving, and infrastructure-independent LoRa mesh networks suitable for emergency communication and off-grid deployment. © 2026 IEEE.</t>
  </si>
  <si>
    <t xml:space="preserve">R157</t>
  </si>
  <si>
    <t xml:space="preserve">The proceedings contain 11 papers. The topics discussed include: multi-hop routing optimization of transmission-line monitoring based on the LoRa technology; anomaly detection of multivariate industrial sensing data based on graph attention network; an evidence study of long-term impacts on mobility patterns brought by COVID-19; a fast and efficient short-term wind speed forecast model for wind turbines; incentive mechanism for secure mobile edge computing under managed eavesdropping risk; energy-efficient dependency-aware task offloading in mobile edge computing: a digital twin empowered approach; indoor air quality assessment and control using fuzzy inference; and research on terminal security of 5G network under different attack scenes.</t>
  </si>
  <si>
    <t xml:space="preserve">R158</t>
  </si>
  <si>
    <t xml:space="preserve">Gateway-Free LoRa Mesh on ESP32: Design, Self-Healing Mechanisms, and Empirical Performance</t>
  </si>
  <si>
    <t xml:space="preserve">Arregui Almeida, D.; Chafla Altamirano, J.; Román Cañizares, M.; Játiva, P.P.; Guaña-Moya, J.; Sánchez, I.</t>
  </si>
  <si>
    <t xml:space="preserve">10.3390/s25196036</t>
  </si>
  <si>
    <t xml:space="preserve">LoRa is a long-range, low-power wireless communication technology widely used in Internet of Things (IoT) applications. However, its conventional implementation through Long Range Wide Area Network (LoRaWAN) presents operational constraints due to its centralized topology and reliance on gateways. To overcome these limitations, this work designs and validates a gateway-free mesh communication system that operates directly on commercially available commodity microcontrollers, implementing lightweight self-healing mechanisms suitable for resource-constrained devices. The system, based on ESP32 microcontrollers and LoRa modulation, adopts a mesh topology with custom mechanisms including neighbor-based routing, hop-by-hop acknowledgments (ACKs), and controlled retransmissions. Reliability is achieved through hop-by-hop acknowledgments, listen-before-talk (LBT) channel access, and duplicate suppression using alternate link triggering (ALT). A modular prototype was developed and tested under three scenarios such as ideal conditions, intermediate node failure, and extended urban deployment. Results showed robust performance, achieving a Packet Delivery Ratio (PDR), the percentage of successfully delivered DATA packets over those sent, of up to 95% in controlled environments and 75% under urban conditions. In the failure scenario, an average Packet Recovery Ratio (PRR), the proportion of lost packets successfully recovered through retransmissions, of 88.33% was achieved, validating the system’s self-healing capabilities. Each scenario was executed in five independent runs, with values calculated for both traffic directions and averaged. These findings confirm that a compact and fault-tolerant LoRa mesh network, operating without gateways, can be effectively implemented on commodity ESP32-S3 + SX1262 hardware. © 2025 by the authors.</t>
  </si>
  <si>
    <t xml:space="preserve">R159</t>
  </si>
  <si>
    <t xml:space="preserve">V2V-Based Traffic Congestion and Emergency Management with Cloud Integration</t>
  </si>
  <si>
    <t xml:space="preserve">Shashank, T.S.; Shreekesh, S.</t>
  </si>
  <si>
    <t xml:space="preserve">2025 IEEE 7th International Conference on Cybernetics, Cognition and Machine Learning Applications, ICCCMLA 2025</t>
  </si>
  <si>
    <t xml:space="preserve">10.1109/icccmla66092.2025.11581260</t>
  </si>
  <si>
    <t xml:space="preserve">Urban traffic is continuously growing in volume, and new problems arise, including congestion, delays, emergencies, and poor real-time coordination of vehicles. Intelligent Transportation Systems (ITS) utilize Vehicle-to-Vehicle (V2V) communications to overcome these problems by using cooperative awareness and safety technologies. This paper describes a LoRa-based V2V framework that includes an ESP32-CAM and is connected to the cloud, which detects an emergency by employing an inertial sensor, sends alerts to nearby vehicles and ambulances with multi-hop LoRa relays, detects congestion by aggregating vehicle speed data, and monitors the length of the stop against a stop length threshold. Each vehicle uploads traffic data to the cloud, enabling pilot studies on the framework. The contribution to original knowledge is the engineering of crash alerts, congestion management, and cloud analytics into a single platform. The framework enhances road safety, reduces the emergency response time and accelerates proactivity in traffic management.  © 2025 IEEE.</t>
  </si>
  <si>
    <t xml:space="preserve">R160</t>
  </si>
  <si>
    <t xml:space="preserve">A LoRa-Based GPS Tracking and Emergency Alert System for Remote Exploration</t>
  </si>
  <si>
    <t xml:space="preserve">Choudhary, U.; Upreti, L.; Singhal, S.</t>
  </si>
  <si>
    <t xml:space="preserve">Proceedings of IEEE International Conference on Modelling, Simulation and Intelligent Computing, MoSICom 2025</t>
  </si>
  <si>
    <t xml:space="preserve">10.1109/mosicom67153.2025.11398157</t>
  </si>
  <si>
    <t xml:space="preserve">Most if the tracking systems that are available in market are limited by their use of cellular connectivity, short-range communication and high-power consumption. This paper proposes a GPS tracking and alert system based on LoRa technology, designed for individuals working in or exploring remote areas with no connectivity. It enables low-power, long-range communication independent of cellular networks. The prototype implements two-way LoRa communication through the REYAX RYLR998 module and fetches real time GPS coordinates through the NEO-M8N sensor, which is all controlled by ESP32 microcontroller. It works on a mesh-based structure, where each device can act as a relay node. The proposed model is as an energy-efficient, long-range alternative that can function in environments with no cellular networks.  © 2025 IEEE.</t>
  </si>
  <si>
    <t xml:space="preserve">R161</t>
  </si>
  <si>
    <t xml:space="preserve">28th IEEE International Symposium on Local and Metropolitan Area Networks, LANMAN 2022</t>
  </si>
  <si>
    <t xml:space="preserve">IEEE Workshop on Local and Metropolitan Area Networks</t>
  </si>
  <si>
    <t xml:space="preserve">The proceedings contain 11 papers. The topics discussed include: THORP: choosing ordered neighbors to attain efficient loop-free minimum-hop routing; distance vector routing in partitioned networks; service mesh controller for cooperative load balancing among neighboring edge servers; exploring performance limits on proactive fair scheduling for mmWave WLANs; designing a double lora connectivity for the Arduino Portenta H7; towards a low-cost stateless 5G core; ml-based cellular service issue troubleshooting using limited ground truth data; demonstrating configuration of software defined networking in real wireless testbeds; access control with individual key delivery in ICN; and bandwidth and congestion aware routing for wide-area hybrid networks.</t>
  </si>
  <si>
    <t xml:space="preserve">R162</t>
  </si>
  <si>
    <t xml:space="preserve">Trading Long Range for Better Performance: Enhancing Industrial LoRa Networks with Relays</t>
  </si>
  <si>
    <t xml:space="preserve">Kang, M.; Zhao, Z.; Wang, Z.; Chen, K.; Min, G.; Duan, H.</t>
  </si>
  <si>
    <t xml:space="preserve">IEEE Transactions on Industrial Informatics</t>
  </si>
  <si>
    <t xml:space="preserve">10.1109/tii.2025.3642036</t>
  </si>
  <si>
    <t xml:space="preserve">LoRa networks have become a key enabling technology for the Industrial Internet of Things (IIoT) due to the low cost, wide coverage, and easy deployment. However, the lifetime of Industrial LoRa Networks (ILNs) leaves much to be desired due to the star topology used, i.e., the energy consumption of nodes at network edges is much higher than those near the gateway. Existing works deploy additional gateways to improve network lifetime, however, this is often limited by hardware cost and geographical constraints. In this article, we propose to trade the long communication range for better network performance by introducing intranetwork relays into ILNs. The fine-grained global views and strict time synchronization in ILNs allow us to establish multihop relays within a network, thus supporting more energy-efficient parameters at edge nodes for enhancing network lifetime. We investigate the unique challenges of LoRa relays in ILNs, and then propose HybLoRa, a novel hybrid framework which adaptively assign relays and configure nodes based on a gain-driven minimum spanning tree (MST). We conduct real-world experiments and large-scale simulations. The results show that compared with single-hop EXPLoRa, HybLoRa can reduce total network energy consumption by 36.1% and improve network lifetime by 67.2%.  © 2005-2012 IEEE.</t>
  </si>
  <si>
    <t xml:space="preserve">R163</t>
  </si>
  <si>
    <t xml:space="preserve">A Minimalistic Distance-Vector Routing Protocol for LoRa Mesh Networks</t>
  </si>
  <si>
    <t xml:space="preserve">Pueyo Centelles, R.; Meseguer, R.; Freitag, F.; Baig Vinas, R.; Navarro, L.</t>
  </si>
  <si>
    <t xml:space="preserve">10.1109/access.2024.3443605</t>
  </si>
  <si>
    <t xml:space="preserve">LoRa is popular in the Internet of Things (IoT) domain as a Low Power, Wide Area Network (LPWAN) radio technology, providing low-power and long-range communication in the sub-GHz band. Most often, LoRa is used as part of the LoRaWAN architecture with a star-of-stars topology, but it can also be operated standalone. This paper presents and evaluates a minimalistic *RP for building LoRa networks with a more flexible mesh network topology. We propose a *ToA metric that, when used in heterogeneous network topologies, can take better advantage of LoRa's multiple *SF, and their trade-off between transmission distance and bit rate, and their quasi-orthogonality property. We evaluate the routing protocol with the FLoRa framework and OMNeT++ and compare it with other common routing strategies. Our experiments provide a comprehensive understanding of the routing protocol performance concerning the scalability, throughput, and latency in several topology and network traffic scenarios. When using the ToA metric, we observed in LoRa mesh networks formed by random topologies and heterogeneous links the positive impact of a more balanced Packet Delivery Ratio (PDR) among the nodes with different network centrality, suggesting hence the multi-SF ToA metric to be used for improved PDR in conditions that are expected to occur in real-world systems. Regarding goodput, we observed that using multiple SF simultaneously had a limited impact on low to high traffic loads but dramatically improved throughput and goodput in traffic saturation scenarios. This suggests that multi-SF operation would be preferred to maximize network performance. We observed the best latency performance with multi-SF ToA for low and medium traffic loads, especially for the random topology, where the metric can again take advantage of the node and link heterogeneity.  © 2024 The Authors. This work is licensed under a Creative Commons Attribution-NonCommercial-NoDerivatives 4.0 License.</t>
  </si>
  <si>
    <t xml:space="preserve">R164</t>
  </si>
  <si>
    <t xml:space="preserve">ALSPR Routing Protocol Based on Improved ADR Protocol</t>
  </si>
  <si>
    <t xml:space="preserve">Hou, J.</t>
  </si>
  <si>
    <t xml:space="preserve">ACM International Conference Proceeding Series</t>
  </si>
  <si>
    <t xml:space="preserve">10.1145/3653644.3669720</t>
  </si>
  <si>
    <t xml:space="preserve">At present, VANET network has become the main network communication system used in the Internet of Vehicles. However, multi hop networks such as ADOV and GPSR in VANET scenarios are only suitable for medium to close communication distance vehicle multi hop protocols. However, the ADR protocol currently applicable to the LORA communication system for long-distance communication and its improved ADR protocol by introducing simplified parameters are only applicable to star network topology. If it is introduced into multi vehicle communication systems in practical applications, it will cause the problem of repeated construction of base stations, greatly increasing material and installation costs. In response to the above issues, this article proposes a multi hop network node selection routing protocol based on Dijkstra algorithm and fuzzy control, namely LSPR protocol, and integrates it with the improved ADR protocol suitable for use in LORA communication systems. By introducing the spread spectrum factor parameter as the input of fuzzy control and introducing it into the Dijkstra algorithm as the judgment basis, the ALSPR algorithm is formed. Compared to other VANET protocols that only replace the LORA communication system, this algorithm can select smaller parameters corresponding to the IP in the weight matrix in the routing vector table as the next hop node, and form a multi hop network with lower link overhead per hop, thus forming a more stable multi hop network system. © 2024 Copyright held by the owner/author(s).</t>
  </si>
  <si>
    <t xml:space="preserve">R165</t>
  </si>
  <si>
    <t xml:space="preserve">Toward long-range adaptive communication via information centric networking</t>
  </si>
  <si>
    <t xml:space="preserve">Dowling, A.; Huie, L.; Njilla, L.; Zhao, H.; Liu, Y.</t>
  </si>
  <si>
    <t xml:space="preserve">Intelligent and Converged Networks</t>
  </si>
  <si>
    <t xml:space="preserve">10.23919/icn.2021.0001</t>
  </si>
  <si>
    <t xml:space="preserve">As Internet of Things (IoT) applications become more prevalent and grow in their use, a limited number of wireless communication methods may be unable to enable dependable, robust delivery of information. It is necessary to enable adaptive communication and interoperability over a variety of wireless communication media to meet the requirements of large-scale IoT applications. This paper utilizes Named Data Networking (NDN), an up-and-coming Information-Centric Network architecture, to interconnect differing communication links via the network layer, and implements dynamic forwarding strategies and routing mechanisms which aid in the efficient dissemination of information. This work targets the creation of an interface technique to allow NDN to be transported via LoRa. This is acheived via the coupling of LoRa and WiFi using the NDN Forwarding Daemon (NFD) to create a universal ad hoc network. This network has the capacity for high range and multi-hop Device-to-Device (D2D) communication together with compatibility with other network communication media. Testing of the system in a real environment has shown that the newly created ad hoc network is capable of communicating over a several kilometer radius, while making use of the features provided by NDN to capitalize upon various links available to enable the efficient dissemination of data. Furthermore, the newly created network leverages NDN features to enable content-based routing within the LoRa network and utilize content-based routing techniques. © All articles included in the journal are copyrighted to the ITU and TUP.</t>
  </si>
  <si>
    <t xml:space="preserve">R166</t>
  </si>
  <si>
    <t xml:space="preserve">Routing Strategies for LoRaWAN Multi-Hop Networks: A Survey and an SDN-Based Solution for Smart Water Grid</t>
  </si>
  <si>
    <t xml:space="preserve">Lalle, Y.; Fourati, M.; Fourati, L.C.; Barraca, J.P.</t>
  </si>
  <si>
    <t xml:space="preserve">10.1109/access.2021.3135080</t>
  </si>
  <si>
    <t xml:space="preserve">Low Power Wide Area Networks (LPWANs) are becoming the most suitable communication technologies in the Internet of Things (IoT) applications due to their low power consumption, long communication range and low cost. Currently, Long Range Wide Area Network (LoRaWAN) is one of the most popular LPWANs. Because it offers the possibility to build private networks with an open standard, LoRaWAN is the most deployed LPWAN solution. However, LoRaWAN supports only one-hop communication, that is, the end-devices are connected directly to the gateways. Since LoRa links can be kilometers long, its signals may undergo interference with other radio signals or encounter obstacles such as buildings, trees. In urban areas, to ensure that indoor LoRa devices can successfully transfer data back to remote gateways (GWs), a dense deployment of GWs is required. Unfortunately, the deployment of many GWs increases the network cost. Multi-hop communication can be exploited to increase LoRaWAN network coverage and packet delivery ratio (PDR) without deploying additional GWs. Therefore, in order to improve LoRaWAN performance, different routing approaches have been recently proposed aiming to create LoRaWAN multi-hop networks where some devices can play the role of relay nodes. However, in some use cases like Smart Water Grid (SWG), where nodes are buried underground inside the pipelines, the use of some SWG devices as relay nodes is not efficient in terms of energy consumption. In this paper, we first provide an in-depth survey on different routing protocols proposed for LoRaWAN multi-hop networks followed by a useful comparison between these approaches. Then, to enable efficient peer-2-peer (P2P) communication between end-devices in SWG, we propose a routing protocol based on Software Defined Networking (SDN) where some specific nodes called Relay Nodes (RNs) relay data from leakages detection nodes. In the case where a sensor detects a leak, a signal is sent to shut off the water valve automatically through our routing approach. Through simulations under LoRaSim, our proposed solution outperforms the standard single-hop network in terms of energy consumption and packet error rate. A range of issues, problems are provided and some research directions are suggested.  © 2013 IEEE.</t>
  </si>
  <si>
    <t xml:space="preserve">R167</t>
  </si>
  <si>
    <t xml:space="preserve">A LoRa Based Wireless Relay Network for Actuator Data</t>
  </si>
  <si>
    <t xml:space="preserve">10.1109/icoin48656.2020.9016483</t>
  </si>
  <si>
    <t xml:space="preserve">This paper describes a novel approach to the design of low complexity, robust, wireless relay networks based on the LoRa physical layer for transmission of short and infrequent messages such as sensor and actuator data. Relay networks comprise a message source, one or more relays that forward the message and a destination. These networks are sometimes described as 'long and thin'. Relay networks are a natural fit for pipes, underground mines, tunnels, communications along international borders and on transport links such as rail and road. Of particular interest to us are dynamic environments, in particular underground mining, where networks need to be deployed quickly with minimal time spent on site surveys and configuration. A key design feature of a relay network is relay forwarding. Relays must forward messages they receive but manage collisions caused by other relays. Collision management in wireless relay networks is challenging because there may be coverage overlap between multiple relays. In underground mines and tunnels, wireless coverage may be affected by the movement of machinery, dust or other environmental causes. Since relay coverage may overlap, multiple relays may be visible to and receive messages from each other, potentially leading to collisions that may corrupt the message. In this paper we propose a forwarding scheme based on broadcast scheduling where the schedule is such that regardless of overlapping transmissions, a collision will not occur. We have simulated and implemented the approach in an experimental network for detonation of explosives. The approach appears to be effective. © 2020 IEEE.</t>
  </si>
  <si>
    <t xml:space="preserve">R168</t>
  </si>
  <si>
    <t xml:space="preserve">Next Generation Lorawan: Integrating Multi-Hop Communications at 2.4 Ghz</t>
  </si>
  <si>
    <t xml:space="preserve">Marini, R.; Cuozzo, G.</t>
  </si>
  <si>
    <t xml:space="preserve">2025 Joint European Conference on Networks and Communications and 6G Summit, EuCNC/6G Summit 2025 - Proceedings</t>
  </si>
  <si>
    <t xml:space="preserve">10.1109/eucnc/6gsummit63408.2025.11037043</t>
  </si>
  <si>
    <t xml:space="preserve">The Internet of Things (IoT) revolution demands scalable, energy-efficient communication protocols supporting widespread device deployments. The LoRa technology, coupled with the LoRaWAN protocol, has emerged as a leading Low Power Wide Area Network (LPWAN) solution, traditionally leveraging sub-GHz frequency bands for reliable long-range communication. However, these bands face constraints such as limited data rates and strict duty cycle regulations. Recent advancements have introduced the 2.4 GHz spectrum, offering superior data rates and unrestricted transmission opportunities at the cost of reduced coverage and severe interference. To solve this trade-off, this paper proposes a novel hybrid approach integrating multi-band (i.e., sub-GHz and 2.4 GHz) and multi-hop communication into LoRaWAN, while preserving compatibility with the existing standard. The proposed network architecture retains Gateways (GWs) and End Devices (EDs) operating within the sub-GHz frequency while introducing multi-band Relays (RLs) that act as forwarding nodes for 2.4 GHz EDs. Utilizing our previously developed open-source and standards-compliant simulation framework, we evaluate the network performance of our solution under realistic deployment scenarios. The results demonstrate substantial improvements compared to standard single-band and single-hop LoRaWAN networks, demonstrating the potential of this approach to redefine LPWAN capabilities and bridge the gap between current solutions and next-generation IoT applications. © 2025 IEEE.</t>
  </si>
  <si>
    <t xml:space="preserve">R169</t>
  </si>
  <si>
    <t xml:space="preserve">UAV-Aided Emergency Environmental Monitoring in Infrastructure-Less Areas: LoRa Mesh Networking Approach</t>
  </si>
  <si>
    <t xml:space="preserve">Pan, M.; Chen, C.; Yin, X.; Huang, Z.</t>
  </si>
  <si>
    <t xml:space="preserve">10.1109/jiot.2021.3095494</t>
  </si>
  <si>
    <t xml:space="preserve">Rapid acquisition of environmental parameters of emergency sites is crucial for emergency response. However, in areas where public ground networks do not provide sufficient coverage or are destroyed by disasters, the rapid backhaul of monitoring data from emergency sites is difficult. Due to the urgent demand for data collection in such areas, we propose an unmanned aerial vehicle (UAV)-aided emergency environmental monitoring system using a LoRa mesh networking approach, which can quickly build a large range of wireless communication networks suitable for small data transmission. First, we designed a LoRa-based mesh network protocol by using a custom slotted ALOHA medium access mechanism. Second, we designed and implemented a custom software and hardware platform of the monitoring system. The system adopts a communication mode, including multiple sensor nodes (SNs), multiple relay nodes (RNs), a gateway (GW), and a network server. Finally, we demonstrated the performance of the protocol and the system by in-lab and outdoor tests. The results show that when data rate is 0.293 kb/s, the line-of-sight 1-hop transmission distance is more than 10 km, and the 1-hop transmission delay is less than 6 s; the end-to-end delay has an upper bound, which can meet the real-time requirement of emergency response; the least upper bound of throughput per slot of our mesh protocol is much higher than that of LoRaWAN. Evaluation results also demonstrate the network robustness to environmental changes.  © 2014 IEEE.</t>
  </si>
  <si>
    <t xml:space="preserve">R170</t>
  </si>
  <si>
    <t xml:space="preserve">Performance Evaluation of AODV-Based LoRa Mesh Topology for IoT Environmental Monitoring</t>
  </si>
  <si>
    <t xml:space="preserve">Hawari, H.F.; Hafiz, M.A.</t>
  </si>
  <si>
    <t xml:space="preserve">2025 IEEE International Conference on Sensors and Nanotechnology, SENNANO 2025</t>
  </si>
  <si>
    <t xml:space="preserve">10.1109/sennano64909.2025.11473122</t>
  </si>
  <si>
    <t xml:space="preserve">The Internet of Things (IoT) increasingly relies on LoRa (Long Range) technology for low-power, wide-area communication. While LoRa typically uses a star topology, this structure limits coverage and increases network overhead. This research explores an alternative LoRa mesh topology using the AODV (Ad Hoc On-Demand Distance Vector) routing protocol, aiming to enhance network efficiency for environmental monitoring applications. A prototype consisting of five Arduino UNO nodes with Cytron LoRa-RFM Shields was developed and tested in both Line-of-Sight (LoS) and Non-Line-of-Sight (NLoS) conditions. Results showed a 1 km coverage in LoS scenarios, with 13.32% higher throughput and a 66.4% reduction in end-to-end delay compared to NLoS environments. These improvements are attributed to reduced signal attenuation and interference. Field test results confirm that the AODV protocol significantly improves data transmission efficiency and packet delivery in LoRa-based mesh networks. The findings offer practical insights for optimizing LoRa deployments in real-world IoT applications. © 2025 IEEE.</t>
  </si>
  <si>
    <t xml:space="preserve">R171</t>
  </si>
  <si>
    <t xml:space="preserve">Performance and Energy Trade-Offs of Multi-Hop LoRa in Large-Scale Agricultural Deployments</t>
  </si>
  <si>
    <t xml:space="preserve">Li, P.; Tian, Z.</t>
  </si>
  <si>
    <t xml:space="preserve">IETE Technical Review (Institution of Electronics and Telecommunication Engineers, India)</t>
  </si>
  <si>
    <t xml:space="preserve">10.1080/02564602.2026.2699799</t>
  </si>
  <si>
    <t xml:space="preserve">Large-scale agricultural monitoring relies on LoRa and LoRaWAN for long-range, low-power communication across vast terrains. However, single-hop architectures face coverage limitations in large or complex environments. Multi-hop LoRa improves connectivity through relay nodes but creates energy imbalance, as relay nodes handle both personal and forwarded transmissions, causing rapid energy depletion and threatening network sustainability. To systematically analyze this trade-off, we developed a reproducible simulation framework that compares single-hop and baseline two-hop LoRa architectures in a large-scale agricultural monitoring scenario. The evaluation employs key performance metrics, including network coverage, throughput, and energy consumption distribution among nodes. Simulation results demonstrate that the two-hop topology improves network coverage from 27.6% to 91.0% and increases total network throughput by more than four times compared to the single-hop configuration. These gains confirm the effectiveness of multi-hop communication in overcoming coverage constraints. However, the improved performance comes at a significant cost. Relay nodes in the two-hop architecture consume over twenty times more energy than standard end-nodes, revealing severe energy imbalance that compromises long-term network operation. This study highlights the trade-off in multi-hop LoRa architectures, showing that extended agricultural coverage requires energy-aware routing and load-balancing strategies to prevent premature relay node failure and ensure sustainable deployment. © 2026 IETE.</t>
  </si>
  <si>
    <t xml:space="preserve">R172</t>
  </si>
  <si>
    <t xml:space="preserve">A LoRa-based optimal path routing algorithm for smart grid</t>
  </si>
  <si>
    <t xml:space="preserve">Huang, H.-Y.; Tseng, K.-S.; Chiang, Y.-L.; Wang, J.-C.; Yang, Y.-C.; Chou, C.-Y.; Jiang, J.-A.</t>
  </si>
  <si>
    <t xml:space="preserve">Proceedings of the International Conference on Sensing Technology, ICST</t>
  </si>
  <si>
    <t xml:space="preserve">10.1109/icsenst.2018.8603641</t>
  </si>
  <si>
    <t xml:space="preserve">For smart grids, suitable communication technologies and routing algorithms are very important in data transmission. Among various data transmission technologies, LoRa is an Internet of Things (IoT)-based wireless communication technology, characterized by its long communication distance up to a few kilometers and low power consumption. Therefore, LoRa is an appropriate candidate for data transmission in smart grids. In this study, the performance of a LoRa device is examined. Based on the experimental results, a routing algorithm that uses the AODV is developed for the LoRa device, and the algorithm enables a long-chain topology suitable for data transmission in a smart grid. A multi-hop mechanism is simulated to ensure a high final receiving rate of packets, by finding the optimal path with the least number of hops in the transmission topology for a power transmission line. The simulation results show a great performance of the proposed algorithm in long distance transmission. © 2018 IEEE.</t>
  </si>
  <si>
    <t xml:space="preserve">R173</t>
  </si>
  <si>
    <t xml:space="preserve">Smart-Hop: Low-Latency Multi-hop Networking for LoRa</t>
  </si>
  <si>
    <t xml:space="preserve">Ahmar, A.-U.-H.; Joosen, W.; Hughes, D.</t>
  </si>
  <si>
    <t xml:space="preserve">Proceedings - 18th Annual International Conference on Distributed Computing in Sensor Systems, DCOSS 2022</t>
  </si>
  <si>
    <t xml:space="preserve">10.1109/dcoss54816.2022.00014</t>
  </si>
  <si>
    <t xml:space="preserve">Low Power Wide Area Networks (LPWANs) provide the Internet of Things (IoT) with energy-efficient, low cost, and long-range networking. LoRaWAN is one of the most widely deployed and studied LPWAN technologies due to its license-free operation and open standard, which has enabled 3rd parties to deploy millions of networks worldwide. LoRa allows transmission range and speed to be traded off by configuring the Spreading Factor (SF) setting. By tuning this parameter, the performance envelope of the network can be configured to favor a higher speed or longer range. While the SF of LoRA provides a simple and elegant means to tailor performance, at the highest spreading factor, maximum throughput drops to a few bits per second, dramatically increasing data extraction times. In this paper, we address this problem by proposing Smart-Hop, a novel multi-hop MAC layer protocol for LoRa which implements low-overhead routing. In contrast to prior work, Smart-Hop exploits the variable range afforded by different SFs to eliminate much of the complexity and overhead of traditional multi-hop mesh networking. Smart-Hop reduces the number of end-devices operating at high SFs while implementing low overhead routing in order to reduce data extraction times. These improvements are achieved while preserving the maximum range offered by LoRa in its highest SF configuration.  © 2022 IEEE.</t>
  </si>
  <si>
    <t xml:space="preserve">R174</t>
  </si>
  <si>
    <t xml:space="preserve">Energy efficient link-delay aware data forwarding in low-duty-cycle LoRa mesh-based IoT networks</t>
  </si>
  <si>
    <t xml:space="preserve">Sun, G.; Zhang, J.</t>
  </si>
  <si>
    <t xml:space="preserve">International Journal of Sensor Networks</t>
  </si>
  <si>
    <t xml:space="preserve">10.1504/ijsnet.2024.142707</t>
  </si>
  <si>
    <t xml:space="preserve">Based on novel chirp spread spectrum (CSS) modulation technology, LoRa is a promising long-range and low-power wireless connectivity solution that provides a PHY layer protocol to connect a massive number of internet of things (IoT) devices. Compared to typical single-hop LoRaWAN networks, LoRa mesh networks can further extend coverage area, enabling numerous sustainable real-world applications. LoRa mesh networks must consider network reliability, latency, and longevity to be successful, but it is often challenging to design energy-efficient and delay-sensitive data forwarding protocols. Many existing data forwarding protocols in mesh networks operate based on the quality of links and node forwarding capabilities. Ultimately, this can result in excessive delay and cause data packets to be relayed by a fixed number of nodes, leading to rapid energy depletion and earlier network disconnection. To address these problems, we propose end-to-end delivery ratio and delay (E2EDRD), a metric that combines devices’ duty cycles, link qualities, and remaining energies. Using a data forwarding protocol based on E2EDRD, each node decides on a set of data-forwarding candidates. Simulation results demonstrate that our proposed metric improves upon existing data forwarding protocols by achieving a desirable trade-off between end-to-end delay (E2ED), packet delivery ratio (PDR), and network lifetime. © 2024 Inderscience Publishers. All rights reserved.</t>
  </si>
  <si>
    <t xml:space="preserve">R175</t>
  </si>
  <si>
    <t xml:space="preserve">LoRaute: Routing Messages in Backhaul LoRa Networks for Underserved Regions</t>
  </si>
  <si>
    <t xml:space="preserve">Ghosh, A.; Misra, S.; Udutalapally, V.; Das, D.</t>
  </si>
  <si>
    <t xml:space="preserve">10.1109/jiot.2023.3281941</t>
  </si>
  <si>
    <t xml:space="preserve">LoRa technology endows unprecedented ability to connect isolated geographical landscapes and build community networks that serve specific purposes. As the network grows, coherent routing of messages becomes imperative to meet the network's objectives and Quality of Service (QoS) requirements. However, despite the recent rise in research and development centered around LoRa networks, not much research addresses the routing mechanisms in LoRa networks. Moreover, the LoRa routing mechanisms must run on low-power and resource-constrained devices, as these networks primarily target far-off locations or volatile environments such as volcanoes. Hence, this work proposes routing mechanisms (LoRaute) for LoRa networks that help route messages considering the messages' QoS requirements. Also, a multipurpose network hardware is proposed, which serves as a LoRa network base station or a WiFi to LoRa bridge for TCP/IP communication. Additionally, this work furnishes and assesses the implementation of the LoRa network and the routing mechanisms in a real environment. The implementation results indicate a seamless and rapid setup of multihop LoRa networks. Moreover, the implementation achieves a routing table record size of 9 B, 24.45 ms routing latency, and 171 mA peak current consumption by the proposed LoRa node. Finally, the proposed system serves as a backhaul network for essential long-range communications, as demonstrated by the experimental setup.  © 2023 IEEE.</t>
  </si>
  <si>
    <t xml:space="preserve">R176</t>
  </si>
  <si>
    <t xml:space="preserve">Opportunistic Routing in LoRa-based Wireless Mesh Networks</t>
  </si>
  <si>
    <t xml:space="preserve">Rösler, S.; Zubow, A.; Dressler, F.</t>
  </si>
  <si>
    <t xml:space="preserve">Proceedings - 2023 IEEE 24th International Symposium on a World of Wireless, Mobile and Multimedia Networks, WoWMoM 2023</t>
  </si>
  <si>
    <t xml:space="preserve">10.1109/wowmom57956.2023.00065</t>
  </si>
  <si>
    <t xml:space="preserve">The recent move of the LoRa wireless technology towards the wider 2.4 GHz ISM spectrum band creates multiple opportunities for its broader usage in new IoT applications requiring larger data rates. However, this ISM band is already crowded with other wireless technologies like WiFi or Bluetooth, and cross-technology interference issues need to be considered. Moreover, the less favorable radio propagation properties in the 2.4 GHz band shorten the communication distance of LoRa transmissions and therefore make relaying necessary. Unfortunately, the direct usage of LoRa technology in a wireless mesh network is challenging due to the non-existent generic frame preamble and header, i.e. LoRa frames are not self-contained. This makes the dynamic adaptation of the modulation used by LoRa per link or even packet transmission challenging. We show in this paper that such limitation can be partially overcome by utilizing the macro spacial diversity provided by opportunistic routing (OR) protocols. In contrast to traditional routing OR selects a candidate set of nodes per hop along the path in the mesh network. Thus any temporal channel fading and local interference conditions will not result in a failed transmissions due to utilization of the spatial diversity provided by OR. The usage of OR achieves a much higher E2E packet delivery rate as well as lower E2E delay as compared to traditional routing while the overhead is reasonable. Moreover, with OR the same signal modulation can be used network-wide and its adjustment can be made on a long-term basis.  © 2023 IEEE.</t>
  </si>
  <si>
    <t xml:space="preserve">R177</t>
  </si>
  <si>
    <t xml:space="preserve">NAVTRAK: Differential GPS-Based Location Tracking and Long-Range Multi-Hop Communication of Marine Moving Objects</t>
  </si>
  <si>
    <t xml:space="preserve">Shahid, A.; Lodhi, N.E.K.; Khan, M.F.; Maaz, M.; Rukaiya, R.; Jugnoo, F.A.</t>
  </si>
  <si>
    <t xml:space="preserve">Proceedings - 2024 International Conference on Engineering and Computing, ICECT 2024</t>
  </si>
  <si>
    <t xml:space="preserve">10.1109/icect61618.2024.10581068</t>
  </si>
  <si>
    <t xml:space="preserve">The paper presents a real-Time location tracking and long-range multi-hop communication system using (Global Positioning System) GPS-enabled LoRa devices. The system uses differential corrections in the GPS data received at the communicating marine stations. Differential corrections are calculated at the Base Station and applied to the moving stations' GPS measurements to increase the location precision. Furthermore, the system provides multi-hop routing based on RSSI and the hop count of the LoRa nodes. NAVTRAK performs real-Time tracking and monitoring of moving ships and sends them alert messages in critical situations. The experimental results show that the system improves the accuracy of GPS measurements by up to 1 meter. The designed system is not restricted to being used for marine applications and is feasible in scenarios (e.g., navigation, surveying, and other scientific applications) where accurate positioning is critical, the equipment cost and infrastructure need to be justified by the benefits of increased accuracy and communication range. © 2024 IEEE.</t>
  </si>
  <si>
    <t xml:space="preserve">R178</t>
  </si>
  <si>
    <t xml:space="preserve">LoRa-Based IoT Multi-Hop Architecture for Smart Vineyard Monitoring: Simulation Framework and System Design</t>
  </si>
  <si>
    <t xml:space="preserve">Suraci, C.; Zema, P.; Marrara, G.; Tropeano, A.; Campolo, A.; Russo, M.; Araniti, G.</t>
  </si>
  <si>
    <t xml:space="preserve">10.3390/s26041112</t>
  </si>
  <si>
    <t xml:space="preserve">The growing interest in precision agriculture has led, in recent years, to an increase in the adoption of Internet of Things (IoT) technologies in the service of smart agriculture to optimize agricultural production processes through the monitoring of environmental conditions and prevent food loss. This work stems from research conducted as part of the Tech4You project, where the enabling digital technologies developed in Spoke 6 contribute to the advanced solutions envisaged by Spoke 3 to facilitate the transition to a sustainable agrifood system. In particular, we present the design and evaluation of a multi-hop Device-to-Device (D2D) communication architecture that leverages Long Range (LoRa) technology, specifically designed for monitoring vineyards in the context of passito wine production. The proposed framework addresses the challenge of monitoring mobile containers for grapes during the drying phase, a critical stage in which inadequate temperatures and humidity can promote the growth of fungi and the formation of mycotoxins. The integration of simulation-based performance evaluation with a multi-layer system architecture is presented in this work. The objective is to compare the performance of different routing strategies in choosing data forwarding paths to the gateway. The simulation results show that the proposed routing strategy, which is based on learning but also focuses on energy consumption, offers good performance. In particular, it achieves packet delivery rates of over (Formula presented.) and preserves over (Formula presented.) of active nodes after 2 h of operation. Energy-aware routing strategies also perform well compared to those that only consider the distance from the destination, but overall, the proposed strategy achieves a better trade-off on the metrics analyzed. © 2026 by the authors.</t>
  </si>
  <si>
    <t xml:space="preserve">R179</t>
  </si>
  <si>
    <t xml:space="preserve">Routing in LoRa for smart cities: A gossip study</t>
  </si>
  <si>
    <t xml:space="preserve">Osorio, A.; Calle, M.; Soto, J.; Candelo-Becerra, J.E.</t>
  </si>
  <si>
    <t xml:space="preserve">10.1016/j.future.2022.05.028</t>
  </si>
  <si>
    <t xml:space="preserve">Wireless communications for IoT in smart cities may be affected by Non-Line-of-Sight (NLOS) propagation conditions due to obstacles such as buildings, trees, and others. LoRaWAN technology transmits information through several kilometers in one hop, from a source node to a gateway. However, packet reception decreases when the link has NLOS conditions and there are no alternative routes for packet delivery. This paper presents a LoRa implementation of MACGSP6, a Gossip-based routing algorithm, to improve communications in a LoRaWAN network where all nodes have NLOS conditions. The paper compares the packet delivery ratio of LoRaWAN and MACGSP6. Results show that packet delivery to the gateway increased from 0% with LoRaWAN to a minimum of 53% with the routing algorithm. Additionally, most packets were delivered using the shortest path available, even when the algorithm does not explicitly compute the routes, decreasing the delay associated with this process. Thus, the proposed solution is useful for IoT applications in smart cities, such as smart metering and structural health monitoring, where one relay node can forward the information of many other nodes. © 2022 The Author(s)</t>
  </si>
  <si>
    <t xml:space="preserve">R180</t>
  </si>
  <si>
    <t xml:space="preserve">LoRa mesh architecture for automation of rural electricity distribution networks</t>
  </si>
  <si>
    <t xml:space="preserve">Prade, L.R.; Uberti, V.A.; Abaide, A.R.; Pereira, P.R.S.; de Figueiredo, R.M.; Both, C.B.</t>
  </si>
  <si>
    <t xml:space="preserve">Electronics Letters</t>
  </si>
  <si>
    <t xml:space="preserve">10.1049/el.2020.0575</t>
  </si>
  <si>
    <t xml:space="preserve">The current transformation scenario in power distribution networks forecasts the need for alternative solutions in communication systems employed in the process of making them intelligent. As a premise, these alternatives should be easy to implement and affordable to allow their adoption in rural distribution networks, where, often, the use of technologies, such as mobile, is not available. This Letter proposes a new communication architecture with mesh topology, based on LoRa technology. The architecture adapts packet prioritisation and MIMO mechanisms to ensure the communication requirements necessary for the services. In this sense, several applications and protocols of a smart grid can coexist in the same communication system. The deployment of the architecture gave rise to a routing protocol adapted to the limitations of the radio technology used. The benefits of the proposed architecture can be observed when compared to the use of traditional low power wide area network networks and cellular technologies. The robustness of the system has been proven with average latency measurement within the acceptable range for DNP3 Modbus and NBR14522 applications. The results have shown its potential employment in the management of intelligent rural distribution systems. © The Institution of Engineering and Technology 2020</t>
  </si>
  <si>
    <t xml:space="preserve">R181</t>
  </si>
  <si>
    <t xml:space="preserve">EGAL: Enhancing LoRa Network Lifetime with Load Balancing</t>
  </si>
  <si>
    <t xml:space="preserve">Taj, M.A.; Sabharwal, K.; Chan, M.C.</t>
  </si>
  <si>
    <t xml:space="preserve">Annual IEEE Communications Society Conference on Sensor, Mesh and Ad Hoc Communications and Networks workshops</t>
  </si>
  <si>
    <t xml:space="preserve">10.1109/secon64284.2024.10934864</t>
  </si>
  <si>
    <t xml:space="preserve">LoRa networks have emerged as a promising solution for long-range, low-power communication in IoT applications. However, a significant challenge in LoRa networks is the uneven battery depletion among nodes, due to the varying transmission configurations required to support different distances between the nodes and the gateway. This disparity in battery consumption poses a substantial challenge to the overall network lifetime. This paper introduces EGAL, a relay-based approach designed to address the battery imbalance issue by ensuring balanced energy consumption across all nodes. Unlike purely multi-hop networks, EGAL follows a hybrid approach that selectively uses relays when necessary while maintaining direct connections to the gateway. EGAL employs a reward-based algorithm that dynamically adjusts relay duties and integrates predictive analytics, thereby enhancing network lifespan with minimal overhead. The proposed solution is validated through NS3 simulation and real-world testbed, demonstrating significant improvements in network lifetime. Specifically, in simulations, EGAL exhibits up to a 457% increase in network lifetime over standard LoRaWAN, and in hardware tests, it shows up to a 70% decrease in total energy consumption. The key contributions of this work include the development of the EGAL algorithm, its integration with standard LoRaWAN, and extensive validation of its effectiveness. © 2024 IEEE.</t>
  </si>
  <si>
    <t xml:space="preserve">R182</t>
  </si>
  <si>
    <t xml:space="preserve">Design and performance evaluation of a LoRa-based mobile emergency management system (LOCATE)</t>
  </si>
  <si>
    <t xml:space="preserve">Sciullo, L.; Trotta, A.; Felice, M.D.</t>
  </si>
  <si>
    <t xml:space="preserve">10.1016/j.adhoc.2019.101993</t>
  </si>
  <si>
    <t xml:space="preserve">Smartphone devices can play a key role on emergency scenarios thanks to their pervasiveness, and the possibility to convey emergency requests from the involved people to the rescue teams. At the same time, the effective utilization of such devices on critical scenarios with limited mobile Internet access is challenging. As an alternative, several recent research studies have proposed Emergency Communication System (ECS) based on short-range Device-to-Device (D2D) solutions available on Commercial Off The Shelf (COTS) devices (e.g. Wi-Fi Direct); however, the target of these solutions is constituted by small indoor areas, since the scalability on large-scale environments is often a problem. In this paper, we overcome such issue by proposing LOCATE, a novel phone-based ECS enabling long-range communication among survivors and rescue teams over critical environments where 3/4G cellular connectivity is not available and the traditional geo-localization technologies (e.g. the GPS) provide only partial coverage of the environment. The proposed system consists of a mobile application connected to a LoRa transceiver via Bluetooth Low Energy (BLE); through the app, users can send emergency requests that are re-broadcasted by other peers until reaching a rescue personnel who is able to handle the emergency. Three novel contributions are provided in this paper. First, we provide extensive measurements of the LoRa technology, and investigate its suitability for ECS-related applications. Second, we describe the LOCATE prototype and the enabling algorithms; specifically, we propose a novel multi-hop dissemination algorithm which maximizes the probability to deliver an emergency request to the destination (e.g. rescue personnel) within a user-defined temporal threshold, while minimizing the number of message re-transmissions. Third, we extensively evaluate the LOCATE performance through OMNeT++ simulations, assessing the capability of the dissemination protocol to spread out the emergency requests over large-scale scenarios, and through experiments, assessing the capability of LoRa-based trilateration technique to provide accurate GPS-free localization. The results demonstrate that the LOCATE protocol is able to minimize the time required to handle the emergency when compared to other dissemination strategies (e.g. flooding, continuous, once-per-contact), and they highlight the considerable improvement provided by the LoRa technology over other D2D solutions available on COTS smartphones (e.g. Wi-Fi Direct). © 2019</t>
  </si>
  <si>
    <t xml:space="preserve">R183</t>
  </si>
  <si>
    <t xml:space="preserve">A Resilient IoT-Based Mountain Rescue System Using LoRa Mesh and Physiological Sensing</t>
  </si>
  <si>
    <t xml:space="preserve">Chung, M.-Y.; Kuo, S.-Y.; Chen, L.-B.</t>
  </si>
  <si>
    <t xml:space="preserve">2026 IEEE 2nd International Conference on Consumer Technology, ICCT-Pacific 2026</t>
  </si>
  <si>
    <t xml:space="preserve">10.1109/icct-pacific69083.2026.11518713</t>
  </si>
  <si>
    <t xml:space="preserve">This paper presents a wearable IoT-based rescue system designed to enhance mountain emergency response in offgrid environments. The proposed platform integrates low-power LoRa mesh communication, ESP32-based physiological monitoring, and a GIS-assisted command center dashboard. By combining long-range mesh connectivity with real-time health sensing, the system enables distress alerts and situational awareness even when cellular networks fail. Field experiments demonstrated communication ranges up to 6 km in open terrain and reliable message relays in mountainous regions. The integration of physiological monitoring provides vital information for rescue coordination and personnel safety. This study aims to contribute to Taiwan's disaster-resilience framework by introducing a scalable, decentralized communication solution for mountain rescue operations.  © 2026 IEEE.</t>
  </si>
  <si>
    <t xml:space="preserve">R184</t>
  </si>
  <si>
    <t xml:space="preserve">Satellite-Free Long Range Communication using Mesh-Driven LoRa Networks for Disaster Zones</t>
  </si>
  <si>
    <t xml:space="preserve">Golecha, S.C.; Kotharkar, R.P.; Likitha, R.M.; Rekha, P.; Bindu, S.; Prashanth, M.K.</t>
  </si>
  <si>
    <t xml:space="preserve">3rd International Conference on Emerging Applications of Material Science and Technology, ICEAMST 2025</t>
  </si>
  <si>
    <t xml:space="preserve">10.1109/iceamst67459.2025.11335642</t>
  </si>
  <si>
    <t xml:space="preserve">Reliable communication in disaster scenarios is often disrupted when conventional cellular or satellite infrastructure fails. This work proposes a satellite-free, mesh-driven LoRa network model that enables resilient long-range connectivity through duty-cycle-aware multi-hop routing. A MATLAB-based simulation framework was developed to analyze the performance of the proposed model under post-disaster conditions. Key metrics such as Packet Delivery Ratio (PDR), latency, energy consumption, and coverage were evaluated and compared against single-hop LoRa and basic mesh topologies. Results show that the proposed duty-cycle-aware mesh architecture achieves up to 25% improvement in PDR, 30% lower latency, and enhanced fault tolerance under node failures. The study demonstrates that integrating duty-cycle optimization with mesh-driven routing can provide scalable, energy-efficient, and regulation-compliant communication in disaster zones without satellite dependency. © 2025 IEEE.</t>
  </si>
  <si>
    <t xml:space="preserve">R185</t>
  </si>
  <si>
    <t xml:space="preserve">The Application of Wireless Underground Sensor Networks to Monitor Seepage inside an Earth Dam</t>
  </si>
  <si>
    <t xml:space="preserve">Liang, M.-C.; Chen, H.-E.; Tfwala, S.S.; Lin, Y.-F.; Chen, S.-C.</t>
  </si>
  <si>
    <t xml:space="preserve">10.3390/s23083795</t>
  </si>
  <si>
    <t xml:space="preserve">Earth dams or embankments are susceptible to instability due to internal seepage, piping, and erosion, which can lead to catastrophic failure. Therefore, monitoring the seepage water level before the dam collapses is an important task for early warning of dam failure. Currently, there are hardly any monitoring methods that use wireless underground transmission to monitor the water content inside earth dams. Real-time monitoring of changes in the soil moisture content can more directly determine the water level of seepage. Wireless transmission of sensors buried underground requires signal transmission through the soil medium, which is more complex than traditional air transmission. Henceforth, this study establishes a wireless underground transmission sensor that overcomes the distance limitation of underground transmission through a hop network. A series of feasibility tests were conducted on the wireless underground transmission sensor, including peer-to-peer transmission tests, multi-hop underground transmission tests, power management tests, and soil moisture measurement tests. Finally, field seepage tests were conducted to apply wireless underground transmission sensors to monitor the internal seepage water level before an earth dam failure. The findings show that wireless underground transmission sensors can achieve the monitoring of seepage water levels inside earth dams. In addition, the results supersede those of a conventional water level gauge. This could be crucial in early warning systems during the era of climate change, which has caused unprecedented flooding events. © 2023 by the authors.</t>
  </si>
  <si>
    <t xml:space="preserve">R186</t>
  </si>
  <si>
    <t xml:space="preserve">Tiny-Critic RAG: Empowering Agentic Fallback with Parameter-Efficient Small Language Models</t>
  </si>
  <si>
    <t xml:space="preserve">Wu, Y.; Liang, P.; Xiang, Y.; Yuan, M.; Liu, J.; Yang, J.; Li, X.; Yan, W.</t>
  </si>
  <si>
    <t xml:space="preserve">2026 9th International Conference on Advanced Algorithms and Control Engineering, ICAACE 2026</t>
  </si>
  <si>
    <t xml:space="preserve">10.1109/icaace69793.2026.11508939</t>
  </si>
  <si>
    <t xml:space="preserve">Retrieval-Augmented Generation (RAG) grounds Large Language Models (LLMs) to mitigate factual hallucinations. Recent paradigms shift from static pipelines to Modular and Agentic RAG frameworks, granting models autonomy for multi-hop reasoning or self-correction. However, current reflective RAG heavily relies on massive LLMs as universal evaluators. In high-throughput systems, executing complete forward passes for billion-parameter models merely for binary routing introduces severe computational redundancy. Furthermore, in autonomous agent scenarios, inaccurate retrieval causes models to expend excessive tokens on spurious reasoning and redundant tool calls, inflating Time-to-First-Token (TTFT) and costs. We propose Tiny-Critic RAG, decoupling evaluation by deploying a parameter-efficient Small Language Model (SLM) via Low-Rank Adaptation (LoRA). Acting as a deterministic gatekeeper, TinyCritic employs constrained decoding and non-thinking inference modes for ultra-low latency binary routing. Evaluations on noiseinjected datasets demonstrate Tiny-Critic RAG achieves routing accuracy comparable to GPT-4o-mini while reducing latency by an order of magnitude, establishing a highly cost-effective paradigm for agent deployment.  © 2026 IEEE.</t>
  </si>
  <si>
    <t xml:space="preserve">R187</t>
  </si>
  <si>
    <t xml:space="preserve">Privileged communication and coordination network for managerial decision support in disaster and emergency scenarios</t>
  </si>
  <si>
    <t xml:space="preserve">Yavuz, Ö.Ç.</t>
  </si>
  <si>
    <t xml:space="preserve">Social Sciences and Humanities Open</t>
  </si>
  <si>
    <t xml:space="preserve">10.1016/j.ssaho.2026.103296</t>
  </si>
  <si>
    <t xml:space="preserve">Disasters and emergencies frequently disrupt conventional communication infrastructure, critically impeding coordination and response efforts during these events. This study presents ATA-AIKON, an integrated mesh network platform based on LoRaWAN, which is designed to provide uninterrupted communication under disaster conditions. The system combines five key components within a single platform: a custom mesh routing protocol, a novel encryption algorithm based on the Collatz conjecture, integration of four environmental sensors (temperature, humidity, air quality, and radiation) for CBRN early warning, solar-powered autonomous operation with adaptive power staging, and comprehensive disaster simulation testing. Eight identical nodes were deployed across the Atatürk University campus and evaluated over a 180-day field-testing period. The results indicate an average packet delivery ratio of 92.4% ± 1.31 across the network, with 94.2% connectivity maintained even under two-node failure conditions. The Collatz-based encryption algorithm consumed 63% less RAM than AES-128 on embedded systems (64 bytes vs. 176 bytes), with a throughput of 880 KB/s—well above the maximum LoRa data rate. The change-of-value reporting strategy reduced data traffic by an estimated 60–70%, and the weighted average power consumption of 38.2 mW enabled continuous off-grid operation. A five-year total cost of ownership analysis (USD 22,900) demonstrated substantial cost advantages over commercial Terrestrial Trunked Radio (TETRA) and satellite systems, while achieving higher reliability (97.2%). These findings suggest that ATA-AIKON represents a viable, cost-effective, and resilient solution for disaster communication; however, further validation across diverse geographies and independent cryptanalysis of the proposed encryption algorithm are recommended. © 2026 The Author.</t>
  </si>
  <si>
    <t xml:space="preserve">R188</t>
  </si>
  <si>
    <t xml:space="preserve">Long-Range (Lora) Radio Ad-Hoc Networks: Hardware Implementation and Results</t>
  </si>
  <si>
    <t xml:space="preserve">Devaliya, R.; Devaliya, R.; Jindal, A.</t>
  </si>
  <si>
    <t xml:space="preserve">2026 International Conference on Smart Applications, Communications and Networking, SmartNets 2026</t>
  </si>
  <si>
    <t xml:space="preserve">10.1109/smartnets69662.2026.11604642</t>
  </si>
  <si>
    <t xml:space="preserve">The Internet of Things (IoT) is rapidly transforming industries, cities, and homes by connecting billions of devices across the globe. As an enabler, Long Range (LoRa) radio has played a key role in ensuring this connectivity. Network topology selection in LoRa systems is crucial for optimizing performance based on specific application requirements. This study presents a comparative analysis of four distinct LoRa network topologies: simple point-to-point, linear routing, augmented linear routing, and full mesh. Each topology is evaluated for communication patterns, energy efficiency, scalability, and practical deployment suitability. All experiments are conducted under a standardised benchmark protocol with repeated trials; results are reported with mean values and standard deviations for Message Delivery Ratio (MDR) and Received Signal Strength Indicator (RSSI). Real-world field testing on the Dhirubhai Ambani University (Formerly DAIICT) campus validates performance across both indoor and outdoor environments. Security considerations relevant to mesh IoT deployments are also discussed. The findings provide practical guidance for topology selection in smart meter monitoring and broader IoT deployments. © 2026 IEEE.</t>
  </si>
  <si>
    <t xml:space="preserve">R189</t>
  </si>
  <si>
    <t xml:space="preserve">Middleware for Distributed Applications in a LoRa Mesh Network</t>
  </si>
  <si>
    <t xml:space="preserve">Miquel Solé, J.; Pueyo Centelles, R.; Freitag, F.; Meseguer, R.; Baig, R.</t>
  </si>
  <si>
    <t xml:space="preserve">ACM Transactions on Embedded Computing Systems</t>
  </si>
  <si>
    <t xml:space="preserve">10.1145/3747295</t>
  </si>
  <si>
    <t xml:space="preserve">Recently, LoRa mesh networks have gained increasing interest as a communication layer for sending data between IoT nodes. However, the network service of the firmware on the microcontroller-based nodes is typically limited to sending and receiving LoRa packets through the LoRa radio. Therefore, the packet processing by the node has to be done using an application-specific implementation. In this article, we present the design and implementation of a middleware that facilitates the development and operation of multiple distributed applications on LoRa mesh network nodes. The components we propose leverage the routing capacity of a LoRa mesh network enabled by the LoRaMesher library and provide a service for applications to send and receive messages from each other. Running several applications concurrently is also supported. We experiment with the middleware implemented in the node firmware with distributed applications that span from the LoRa mesh network to the Internet over MQTT. Our results show the support of bidirectional application-level communication, which can be used to build cross-network distributed applications that integrate services on LoRa mesh network nodes.  © 2025 Copyright held by the owner/author(s).</t>
  </si>
  <si>
    <t xml:space="preserve">R190</t>
  </si>
  <si>
    <t xml:space="preserve">Async-Hop: Energy-Efficient Multihop LoRaWAN With On-Demand Event Transmissions</t>
  </si>
  <si>
    <t xml:space="preserve">Mavros, G.; Kantelis, K.F.; Nicopolitidis, P.; Papadimitriou, G.I.</t>
  </si>
  <si>
    <t xml:space="preserve">IEEE Transactions on Green Communications and Networking</t>
  </si>
  <si>
    <t xml:space="preserve">10.1109/tgcn.2026.3715648</t>
  </si>
  <si>
    <t xml:space="preserve">Recently, the need for monitoring industrial and agricultural areas has led to the increased adoption of low power wide area network (LPWAN) sensor networks, which utilize a primary group of data transmission technologies. Long Range Wide Area Network (LoRaWAN) networks, which operate using a specific transmission protocol within the LPWAN framework, have gained significant importance in these applications due to their energy efficiency and cost-effectiveness. As monitored areas grow and become more remote, the traditional LoRaWAN protocol faces challenges in scalability and wide-area coverage. This issue is typically managed by adding additional gateways, though this solution increases both infrastructure costs and gateway-to-server connectivity complexity. Recent research has explored multihop schemes to address these limitations; however, these schemes currently support only periodic transmissions, as relay nodes require prior knowledge of transmission times to wake up and forward packets. This reliance on periodic transmissions limits the protocol’s flexibility, making it less responsive to non-periodic or event-driven data needs. This work introduces a novel approach that leverages wake-up radio (WuR), supporting not only periodic but also asynchronous and event-based data retransmissions while maintaining high energy efficiency. Therefore, this work overcomes the limitations of asynchronous and event-driven transmissions without requiring continuously active receivers, achieving high energy efficiency and supporting a theoretically unlimited number of hops. Extensive simulations demonstrate that the network capacity of the proposed LoRa multihop protocol outperforms that of a three-gateway topology, while also achieving higher energy efficiency than an Adaptive Data Rate (ADR)-enabled single-gateway LoRaWAN setup. © 2017 IEEE.</t>
  </si>
  <si>
    <t xml:space="preserve">R191</t>
  </si>
  <si>
    <t xml:space="preserve">A Hierarchy-Based Dynamic Routing Protocol for LoRa Mesh Networks</t>
  </si>
  <si>
    <t xml:space="preserve">Feng, L.; Yu, H.; Jia, M.</t>
  </si>
  <si>
    <t xml:space="preserve">IEEE International Symposium on Broadband Multimedia Systems and Broadcasting, BMSB</t>
  </si>
  <si>
    <t xml:space="preserve">10.1109/bmsb58369.2023.10211537</t>
  </si>
  <si>
    <t xml:space="preserve">In this paper, we present a new routing protocol for LoRa mesh networks, the hierarchical, dynamic, and energy-efficient routing protocol (HBDR). We have developed a proof-of-concept implementation of the protocol and have shown its effectiveness in both laboratory tests and a field trial in a real-world LoRa deployment, which shows better performance than the traditional AODV protocol. © 2023 IEEE.</t>
  </si>
  <si>
    <t xml:space="preserve">R192</t>
  </si>
  <si>
    <t xml:space="preserve">Performance Analysis of Cooperative LoRa with Multihop Relaying for Rayleigh and Nakagami Channels</t>
  </si>
  <si>
    <t xml:space="preserve">Mahjoub, T.; Ben Mnaouer, A.; Boujemaa, H.; Ben Said, M.</t>
  </si>
  <si>
    <t xml:space="preserve">Lecture Notes in Networks and Systems</t>
  </si>
  <si>
    <t xml:space="preserve">10.1007/978-3-031-29056-5_8</t>
  </si>
  <si>
    <t xml:space="preserve">In this paper, we derive the Bit Error Probability (BEP) of cooperative LoRa using multihop Decode and Forward (DF) relaying. We have fixed the total transmitted energy per bit for any number of hops with uniform power allocation to the source and relay nodes. The analysis is valid for Rayleigh and Nakagami channels with arbitrary fading figure m= 1, 2, 3, 4, etc. The theoretical results have been confirmed with computer simulations and show that the BEP decreases as the number of hops increases and the fading figure m increases. © 2023, The Author(s), under exclusive license to Springer Nature Switzerland AG.</t>
  </si>
  <si>
    <t xml:space="preserve">R193</t>
  </si>
  <si>
    <t xml:space="preserve">S1, S2, S3b</t>
  </si>
  <si>
    <t xml:space="preserve">Securing Marine Assets: Edge ML and LoRa Mesh Integration for IoT Anti-Theft Systems</t>
  </si>
  <si>
    <t xml:space="preserve">Coppola, D.V.; Russo, M.; Santoro, C.; Santoro, F.F.; Spadola, A.; Tudisco, A.</t>
  </si>
  <si>
    <t xml:space="preserve">IoT</t>
  </si>
  <si>
    <t xml:space="preserve">10.3390/iot7030079</t>
  </si>
  <si>
    <t xml:space="preserve">This paper presents a maritime Internet of Things anti-theft architecture based on an ESP32 onboard node, local motion analysis, and LoRa mesh communication. The proposed detection pipeline uses a one-dimensional convolutional autoencoder trained on stationary vessel data and applied to sliding windows of X- and Z-axis angular velocity measurements. During deployment, a calibration phase estimates the reconstruction-error threshold from the local motion profile of the moored vessel, reducing the dependence on labelled theft examples. The communication layer combines an Elliptic Curve Cryptography setup phase with symmetric payload encryption for alert packets, while ESP32 hardware security features are used to protect firmware and stored credentials. The mesh network uses controlled flooding. A Godot-based simulation environment was used to generate stationary and towing scenarios under different wave configurations. In the current simulation campaign, towing windows produced a higher mean reconstruction error than stationary windows. The results support the feasibility of the architecture and also show that event-level alert logic is required to aggregate window-level anomaly scores into reliable alarms. © 2026 by the authors.</t>
  </si>
  <si>
    <t xml:space="preserve">R194</t>
  </si>
  <si>
    <t xml:space="preserve">Evaluation of LoRa receiver performance under co-technology interference</t>
  </si>
  <si>
    <t xml:space="preserve">Zhu, G.; Liao, C.-H.; Suzuki, M.; Narusue, Y.; Morikawa, H.</t>
  </si>
  <si>
    <t xml:space="preserve">CCNC 2018 - 2018 15th IEEE Annual Consumer Communications and Networking Conference</t>
  </si>
  <si>
    <t xml:space="preserve">10.1109/ccnc.2018.8319183</t>
  </si>
  <si>
    <t xml:space="preserve">LoRa networks achieve a remarkably wide coverage as compared to that of the conventional wireless systems by employing the chirp spread spectrum (CSS). However, single-hop LoRa networks have limited penetration in indoor environments and cannot efficiently utilize the multiple-access dimensions arising from different spreading factors (SF) because the star topology is typically used for LoRa. On the other hand, a multi-hop LoRa network has the potential to realize extensive network coverage by utilizing packet relaying and improving the network capacity by utilizing different SFs. We evaluated the LoRa receiver performance under co-technology interference via simulation and experiments to realize these potentials. The results show that LoRa can survive interference from time-synchronized packets transmitted by multiple transmitters with an identical SF. Furthermore, we examined the orthogonality between different SFs by evaluating the required signal-to-interference ratio (SIR). Finally, we demonstrated the possibility of employing different SFs to construct the pipeline in a multi-hop relay network to increase network efficiency. © 2018 IEEE.</t>
  </si>
  <si>
    <t xml:space="preserve">R195</t>
  </si>
  <si>
    <t xml:space="preserve">Development of a LoRa-Based Self-organizing Network Protocol for Collecting Telemetry Information in Remote Mountainous Regions</t>
  </si>
  <si>
    <t xml:space="preserve">Pupcev, R.; Nekrasov, S.</t>
  </si>
  <si>
    <t xml:space="preserve">Lecture Notes in Computer Science</t>
  </si>
  <si>
    <t xml:space="preserve">10.1007/978-3-032-19981-2_9</t>
  </si>
  <si>
    <t xml:space="preserve">This article presents the development of a meteorological data collection and transmission system utilizing wireless sensor networks (WSNs) based on LoRa technology. The study examines approaches to message routing in sensor networks, including centralized and decentralized algorithms, as well as methods for enhancing network fault tolerance and optimizing energy consumption. A self-organizing network algorithm, based on energy metrics such as device battery level, is proposed to optimize routing paths. The work also investigates a mechanism for configuring radio module parameters to reduce the energy costs associated with data transmission. Simulation results demonstrate a significant reduction in energy consumption, confirming the proposed system's effectiveness for real-world applications. © The Author(s), under exclusive license to Springer Nature Switzerland AG 2026.</t>
  </si>
  <si>
    <t xml:space="preserve">R196</t>
  </si>
  <si>
    <t xml:space="preserve">Communication and Energy Consumption Performance of a Multi-Floor Indoor Meshtastic-Based LoRa Mesh Network</t>
  </si>
  <si>
    <t xml:space="preserve">Maizan, N.H.N.; Abdullah, N.F.; Zennaro, M.; Alobaidy, H.A.H.; Abu-Samah, A.</t>
  </si>
  <si>
    <t xml:space="preserve">IET Communications</t>
  </si>
  <si>
    <t xml:space="preserve">10.1049/cmu2.70221</t>
  </si>
  <si>
    <t xml:space="preserve">Low-power wide-area networks based on LoRa mesh networking offer a promising communication solution for infrastructure-limited indoor environments, where direct links are frequently obstructed by walls and multiple floors. However, experimentally validated guidance on relay deployment, traffic configuration and per-role energy consumption for Meshtastic-based mesh networks under multi-floor non-line-of-sight (NLOS) conditions remains limited. To address this gap, the communication and energy performance of a Meshtastic LoRa mesh network were experimentally evaluated in a four-storey indoor NLOS environment, considering relay availability, relay placement, traffic load and network role. A six-node testbed of heterogeneous LilyGO devices running Meshtastic firmware 2.7 exchanged acknowledged direct messages in the EU 868 MHz band, with communication performance quantified by packet delivery ratio (PDR), received signal strength and signal-to-noise ratio, and per-role energy demand measured using an Otii arc power analyser. Introducing a single relay increased the PDR from 1.0% for direct communication to 96.5%. When two relays were available, forwarding was unevenly distributed between them (66.5% versus 33.5%) in favour of the relay with the stronger link quality. Relay placement dominated end-to-end reliability, in which a relay deployed on an intermediate floor (L0) achieved a PDR of 99.25%, compared with 38.50% for direct communication and 12.00% when the relay was colocated with the receiver (L2) and shared its bottleneck link. Reducing the offered traffic load improved per-node PDR from 0.6%–58.3% under fully active transmission to 20.5–85.7% under mixed traffic. Energy measurements showed near-identical demand across the transmitter, receiver and relay roles (125–126 mA average current, 467–470 mJ per message and an estimated 25–26 h lifetime on a 3200 mAh battery), indicating that relaying imposes no measurable energy penalty under always-on operation. These findings provide experimentally validated deployment guidelines, demonstrating that communication reliability in multi-floor indoor environments is governed by relay placement that partitions the dominant obstruction and by traffic configuration, and can be improved without additional per-node energy cost across the evaluated active roles. © 2026 The Author(s). IET Communications published by John Wiley &amp; Sons Ltd on behalf of The Institution of Engineering and Technology.</t>
  </si>
  <si>
    <t xml:space="preserve">R197</t>
  </si>
  <si>
    <t xml:space="preserve">19th International Conference on Ad-Hoc Networks and Wireless, ADHOC-NOW 2020</t>
  </si>
  <si>
    <t xml:space="preserve">The proceedings contain 23 papers. The special focus in this conference is on Ad-Hoc Networks and Wireless. The topics include: Energy Saving in TSCH Networks by Means of Proactive Reduction of Idle Listening; towards Long-Lasting Nanoscale Wireless Communications in the Terahertz Band for Biomedical Applications; New CAP Reduction Mechanisms for IEEE 802.15.4 DSME to Support Fluctuating Traffic in IoT Systems; testing and Evaluating a Security-Aware Pub and Sub Protocol in a Fog-Driven IoT Environment; XSS Attack Detection Model Based on Semi-supervised Learning Algorithm with Weighted Neighbor Purity; A Cross-Layer Intrusion Detection System for RPL-Based Internet of Things; secure Energy Constrained LoRa Mesh Network; CROSS City: Wi-Fi Location Proofs for Smart Tourism; total Transmission Time Minimization Through Relay Selection for Full-Duplex Wireless Powered Cooperative Communication Networks; Towards Named AI Networking: Unveiling the Potential of NDN for Edge AI; energy Aware Epidemic Strategies for Mobile Opportunistic Networks; Integrating an MQTT Proxy in a LoRa-Based Messaging System for Generic Sensor Data Collection; A Fault Tolerant LoRa/LoRaWAN Relay Protocol Using LoRaWAN Class A Devices; IETF Reliable and Available Wireless (RAW): Use Cases and Problem Statement; fast and Cost-Efficient Virtualized Network Function Placement Algorithm in Wireless Multi-hop Networks; Evaluation of DTN Routing Algorithms in Scheduled Public Transport Networks; geocaching-Inspired Navigation for Micro Aerial Vehicles with Fallible Place Recognition; a Dual-Stack Communication System for the Internet of Drones; consensus-Based Algorithms for Controlling Swarms of Unmanned Aerial Vehicles; STOP: A Location Spoofing Resistant Vehicle Inspection System; a Simulation Framework for QoE-Aware Real-Time Video Streaming in Multipath Scenarios.</t>
  </si>
  <si>
    <t xml:space="preserve">R198</t>
  </si>
  <si>
    <t xml:space="preserve">Energy-efficient clustering using improved kookaburra optimization and deep reinforcement learning-based multi-hop routing in LoRa networks</t>
  </si>
  <si>
    <t xml:space="preserve">Ramanan, K.; Sumithra, R.P.; Vidhya, S.; Raja, P.M.S.</t>
  </si>
  <si>
    <t xml:space="preserve">European Physical Journal Plus</t>
  </si>
  <si>
    <t xml:space="preserve">10.1140/epjp/s13360-026-07808-0</t>
  </si>
  <si>
    <t xml:space="preserve">With the growing popularity of Internet of Things (IoT) applications, effective and dependable communication protocols are needed for low-power wide-area networks (LPWANs) including long-range (LoRa) WAN. There are several methods designed for optimal routing in LoRa; still, several challenges like instability, inaccurate decision-making, and limited longevity limit efficient communication. In order to overcome the challenges, a novel approach integrating improved kookaburra optimization (IKO) for cluster head (CH) selection and deep reinforcement learning (DRL) for multi-hop routing in LoRa networks is proposed. IKO enhances the selection process of CHs by optimizing cluster formation, considering factors such as remaining energy, distance, and delay. DRL-based multi-hop routing is employed for routing the information from the CH to the gateway. The proposed approach aims to improve routing efficiency, energy consumption, and network lifetime in LoRa networks, thus facilitating the deployment of IoT applications in diverse domains. Experimental results demonstrate the effectiveness of the proposed IKO-based CH selection and DRL-based multi-hop routing in enhancing the performance of LoRa networks compared to traditional approaches. The analysis of the proposed IKO + DRL in terms of throughput, delay, packet delivery ratio, energy consumption, and network lifetime acquired the values of 148.167, 1.8, 98.849, 13.437, and 94.713, respectively. Both IKO-based clustering and DRL-based multi-hop routing contribute to the scalability and flexibility of LoRa networks. © The Author(s), under exclusive licence to Società Italiana di Fisica and Springer-Verlag GmbH Germany, part of Springer Nature 2026.</t>
  </si>
  <si>
    <t xml:space="preserve">R199</t>
  </si>
  <si>
    <t xml:space="preserve">MHM-RTC: Multi-Hop Mobility-Based Real-Time Clustering Algorithm for Wide-Area Wireless Sensor Network</t>
  </si>
  <si>
    <t xml:space="preserve">Sumon, M.R.A.; Siddiqui, M.; Rahman, G.M.E.u.; Mostafa, R.</t>
  </si>
  <si>
    <t xml:space="preserve">10.1109/access.2025.3603021</t>
  </si>
  <si>
    <t xml:space="preserve">Internet of Things (IoT) and wireless sensor networks (WSN) have significant potential for a wide range of applications. However, these methods are hindered by resource constraints, long-range connectivity and energy challenges. Existing clustering protocols attempt to address some of these problems but fall short when handling the demands of real-time mobility in large-scale WSNs. Many of these algorithms rely on high processing power and offline optimization and fail to account for the dynamic mobility of nodes within the network. This article introduces the Multi-hop Mobility-based Real-Time Clustering (MHM-RTC) algorithm, which utilizes long-range (LoRa) communication between mobile sensor nodes (SNs) and a mobile data sink (DS). Unlike traditional approaches, this algorithm enables dynamic, on-the-fly clustering through the active participation of both SNs and DS. It adapts to continuous topology changes in highly mobile environments, supporting real-time responsiveness and efficient wide-area WSN coverage. The algorithm includes a mathematical model to calculate the clustering time across various network sizes, focusing on energy optimization and extended coverage in mobile networks. The simulation results demonstrate significant improvements over existing mobility-supporting algorithms, such as the Energy Efficient Routing Algorithm (EERA), Energy-Efficient Mobility-Based Cluster Head Selection (EEMCS) and Lightweight Dynamic Clustering Algorithm (LDCA). Specifically, MHM-RTC reduced the clustering time by up to 20%, increased the sensor node coverage by 37-53%, and reduced the average residual energy consumption by 3.77–8.69% when the total number of sensor nodes varied from 100 to 250. These results highlight that MHM-RTC is an effective solution for real-time energy-efficient clustering in large-scale mobile sensor networks. © 2013 IEEE.</t>
  </si>
  <si>
    <t xml:space="preserve">R200</t>
  </si>
  <si>
    <t xml:space="preserve">Deep reinforcement learning based transmission policy enforcement and multi-hop routing in QoS aware LoRa IoT networks</t>
  </si>
  <si>
    <t xml:space="preserve">Muthanna, M.S.A.; Muthanna, A.; Rafiq, A.; Hammoudeh, M.; Alkanhel, R.; Lynch, S.; Abd El-Latif, A.A.</t>
  </si>
  <si>
    <t xml:space="preserve">10.1016/j.comcom.2021.11.010</t>
  </si>
  <si>
    <t xml:space="preserve">The LoRa wireless connectivity has become a de facto technology for intelligent critical infrastructures such as transport systems. Achieving high Quality of Service (QoS) in cooperative systems remains a challenging task in LoRa. However, high QoS can be achieved via optimizing the transmission policy parameters such as spreading factor, bandwidth, code rate and carrier frequency. Yet existing approaches have not optimized the complete LoRa parameters. Furthermore, the star of stars topology used by LoRa causes more energy consumption and a low packet reception ratio. Motivated by this, this paper presents transmission policy enforcement and multi-hop routing for QoS-aware LoRa networks (MQ-LoRa). A hybrid cluster root rotated tree topology is constructed in which gateways follow a tree topology and Internet of Things (IoT) nodes follow a cluster topology. A ‘membrane’ inspired form the cell tissues which form clusters to sharing the correct information. The membrane inspired clustering algorithm is developed to form clusters and an optimal header node is selected using the influence score. Data QoS ranking is implemented for IoT nodes where priority and non-priority information is identified by the new field of LoRa frame structure (QRank). The optimal transmission policy enforcement uses fast deep reinforcement learning called Soft Actor Critic (SAC) that utilizes the environmental parameters including QRank, signal quality and signal-to-interference-plus-noise-ratio. The transmission policy is optimized with respect to the spreading factor, code rate, bandwidth and carrier frequency. Then, a concurrent optimization multi-hop routing algorithm that uses mayfly and shuffled shepherd optimization to rank routes based on the fitness criteria. Finally, a weighted duty cycle is implemented using a multi-weighted sum model to reduce resource wastage and information loss in LoRa IoT networks. Performance evaluation is implemented using a NS3.26 LoRaWAN module. The performance is examined for various metrics such as packet reception ratio, packet rejection ratio, energy consumption, delay and throughput. Experimental results prove that the proposed MQ-LoRa outperforms the well-known LoRa methods. © 2021 Elsevier B.V.</t>
  </si>
  <si>
    <t xml:space="preserve">R201</t>
  </si>
  <si>
    <t xml:space="preserve">Implementation and Analysis of Routing Protocols for LoRa Wireless Mesh Networks</t>
  </si>
  <si>
    <t xml:space="preserve">De Farias Medeiros, D.; Villarim, M.R.; De Carvalho, F.B.S.; De Souza, C.P.</t>
  </si>
  <si>
    <t xml:space="preserve">11th Annual IEEE Information Technology, Electronics and Mobile Communication Conference, IEMCON 2020</t>
  </si>
  <si>
    <t xml:space="preserve">10.1109/iemcon51383.2020.9284888</t>
  </si>
  <si>
    <t xml:space="preserve">In a world getting more and more connections, the growth in the number of devices sharing information with each other is evident. Therefore, as the number of connected devices and their applications grows, the amount of data shared by these devices also increases considerably. Thus, in order to be able to send data from one device to another and that data passing through intermediate devices, it is necessary to define from which path the data should be sent, characterizing the routing concept. In this context, this work aims to implement and analyze routing protocols for ad hoc wireless network called DVR (Distance Vector Routing), AODV (Ad Hoc On-Demand Distance Vector) and DSR (Dynamic Source Routing) using the Cupcarbon network simulator. LoRa wireless communication technology and a network topology distributed along avenues in the city of João Pessoa, Brazil, were considered and simulated. The quantitative analysis criteria were the packet delivery rate, the average end-To-end delay and throughput. The energy consumption profiles of each network node were also obtained according to each protocol. The results showed that the DSR protocol had lower energy consumption and AODV obtained better general performance, but with higher consumption. The DVR protocol showed better results in terms of latency. © 2020 IEEE.</t>
  </si>
  <si>
    <t xml:space="preserve">R202</t>
  </si>
  <si>
    <t xml:space="preserve">SateRIoT: High-performance Ground-Space Networking for Rural IoT</t>
  </si>
  <si>
    <t xml:space="preserve">Ren, Y.; Gamage, A.; Liu, L.; Li, M.; Chen, S.; Dong, Y.; Cao, Z.</t>
  </si>
  <si>
    <t xml:space="preserve">ACM MobiCom 2024 - Proceedings of the 30th International Conference on Mobile Computing and Networking</t>
  </si>
  <si>
    <t xml:space="preserve">10.1145/3636534.3690659</t>
  </si>
  <si>
    <t xml:space="preserve">Rural Internet of Things (IoT) systems connect sensors and actuators in remote areas, serving crucial roles in agriculture and environmental monitoring. Given the absence of networking infrastructure for backhaul in these regions, satellite IoT techniques offer a cost-effective solution for connectivity. However, current satellite IoT architectures often struggle to deliver high performance due to temporal and spatial link challenges. This paper presents SateRIoT, a new network architecture with temporal link estimation and spatial link sharing that fully exploits the capability of space low-cost low-earth-orbit (LEO) IoT satellites and ground low-power wide area (LPWA) IoT techniques in rural areas. First, we introduce a bursty link model that predicts the number of transmittable packets within a transmission window, reducing energy waste from failed uplink transmissions. Moreover, we enhance the model by selecting informative features and optimizing the window length. Additionally, we develop a multi-hop flooding protocol that enables gateways to buffer and share data packets across the network while incorporating a priority data queue to avoid duplicate transmissions. We implement SateRIoT with commercial-off-the-shelf (COTS) IoT satellite and LoRa radios, then evaluate its performance based on real deployment and real-world collected traces. The results show that SateRIoT can consume 3.3X less energy consumption for an individual gateway. Moreover, SateRIoT offers up to a 5.6X reduction in latency for a single packet and a 1.9X enhancement in throughput. © 2024 Copyright is held by the owner/author(s). Publication rights licensed to ACM.</t>
  </si>
  <si>
    <t xml:space="preserve">R203</t>
  </si>
  <si>
    <t xml:space="preserve">Student research abstract: Extending LoRa networks: Dynamic routing protocols and sub-GHz radio technology for very long range mesh networks</t>
  </si>
  <si>
    <t xml:space="preserve">Centelles, R.P.</t>
  </si>
  <si>
    <t xml:space="preserve">Proceedings of the ACM Symposium on Applied Computing</t>
  </si>
  <si>
    <t xml:space="preserve">10.1145/3297280.3297655</t>
  </si>
  <si>
    <t xml:space="preserve">Sub-GHz radio technologies operating in ISM bands, such as LoRa1, have become very popular as the wireless data transmission mechanism for IoT applications. Their great link budget allows nodes to reach several km while keeping power usage low. Most of the diverse network protocols and architectures currently in use enforce a star topology that limits the network operation to single-hop transmissions to a gateway. With the adoption of multi-hop data transmission, these networks could extend farther, and cover very large areas without the need for more gateways. The combination of long-range sub-GHz radio technologies and dynamic Routing Protocols, similarly to how they are used in WiFi Mesh Networks, could provide a sweet spot solution to fulfil the network requirements of IoT deployments covering very large areas without the need for additional centralised gateways infrastructure. This idea can also be applied to other scenarios, like out-of-band management of network equipment, emergency networks, etc. © 2019 Copyright held by the owner/author(s).</t>
  </si>
  <si>
    <t xml:space="preserve">R204</t>
  </si>
  <si>
    <t xml:space="preserve">Performance Evaluation of Multi-Hop LoRaWAN</t>
  </si>
  <si>
    <t xml:space="preserve">Rakibul Islam, M.; Bokhtiar-Al-Zami, M.; Paul, B.; Palit, R.; Gregoire, J.-C.; Islam, S.</t>
  </si>
  <si>
    <t xml:space="preserve">10.1109/access.2023.3278687</t>
  </si>
  <si>
    <t xml:space="preserve">Although LoRa (radio) technology offers customization of different physical layer transmission parameters such as bandwidth, spreading factor (SF), transmission power, and coding rate to obtain the desired data rate and coverage, the currently preferred single-hop transmission mode cannot simultaneously achieve both. The LoRaWAN community is therefore focusing on multi-hop networks to increase network longevity while extending coverage. In this paper, a detailed mathematical model for a multi-hop network that modifies the Distance Ring Exponential Stations Generator (DRESG) framework is presented. The relay operation is carried out through intermediate gateways, and a distance-based adaptive transmission configuration approach is used. On the basis of the performance metrics, i.e., packet delivery ratio (PDR) and energy usage of end nodes, we compare and contrast the performance characteristics of several routing schemes, including single-hop (SH), next-ring-hop (NRH), and variable-hop (VH) routing. The research covers some core issues, including interference, environmental conditions, and transceiver power constraints, and sets the stage for evaluating various multi-hop LoRa solutions as well as optimizing several implementation factors. © 2013 IEEE.</t>
  </si>
  <si>
    <t xml:space="preserve">R205</t>
  </si>
  <si>
    <t xml:space="preserve">Efficient Rebroadcast Location-Unaware Protocol for LoRaWAN Mesh Networks in the IoT Domain</t>
  </si>
  <si>
    <t xml:space="preserve">Ahmed, S.T.; Ahmed, A.A.; Annamalai, A.; Chouikha, M.</t>
  </si>
  <si>
    <t xml:space="preserve">14th IEEE Symposium on Computer Applications and Industrial Electronics, ISCAIE 2024</t>
  </si>
  <si>
    <t xml:space="preserve">10.1109/iscaie61308.2024.10576269</t>
  </si>
  <si>
    <t xml:space="preserve">Long-range Wide Area Network (LoRAWAN) is one of the most widely used low-power wide-area network technologies for enabling long-range and extensive coverage for Internet of Things (IoT) ecosystems. The network performance and sustainability metrics are crucial to effectively and efficiently implementing such IoT ecosystems. However, existing broadcasting protocols (e.g., ECHO) typically suffer from high collision rates and low network throughput when deployed in the IoT domain and, thus, may adversely impact the network performance. Therefore, a key objective in designing broadcast routing protocols in IoT is to increase the packet delivery success rate while reducing the packet collision rate. In this paper, we present an efficient rebroadcast location-unaware protocol for LoRaWAN mesh networks in the IoT domain. The proposed protocol dynamically adjusts the rebroadcast delay (i.e., timing) based on the network conditions. We in-depth analyzed the critical performance parameters (i.e., rebroadcast delay, packet size, and re-transmission strategy) that influence LoRaWAN mesh networks in various IoT environments operating in a low-data-rate context. As a result, we identified the causes of higher collision rates and, consequently, low network throughput in such a context. Experimental results showed that our protocol outperformed the ECHO protocol regarding the packet collision rate and energy efficiency.  © 2024 IEEE.</t>
  </si>
  <si>
    <t xml:space="preserve">R206</t>
  </si>
  <si>
    <t xml:space="preserve">Demonstration of a library prototype to build LoRa mesh networks for the IoT</t>
  </si>
  <si>
    <t xml:space="preserve">Sole, J.M.; Miralles Nogues, S.; Centelles, R.P.; Freitag, F.</t>
  </si>
  <si>
    <t xml:space="preserve">Proceedings - International Conference on Distributed Computing Systems</t>
  </si>
  <si>
    <t xml:space="preserve">10.1109/icdcs54860.2022.00150</t>
  </si>
  <si>
    <t xml:space="preserve">LoRa has become popular in the Internet of Things (IoT) domain as a Low Power, Wide Area Network (LPWAN) radio technology providing low-power and long-range communication. In a typical IoT application, the LoRaWAN architecture is applied, where LoRa end nodes communicate their data to a gateway, which then over the Internet sends these data to a cloud-based service for further processing. However, LoRa can also be used standalone for the communication between LoRa nodes forming a mesh network. In this demo paper we present a library called LoRaMesher, which runs on LoRa nodes and forms a mesh network among these nodes. By implementing a distance vector routing protocol, LoRaMesher enables two nodes to communicate data packets with each other while the other nodes in the mesh network operate as routers. LoRaMesher can open the possibility for new distributed applications hosted only on such tiny IoT nodes.  © 2022 IEEE.</t>
  </si>
  <si>
    <t xml:space="preserve">R207</t>
  </si>
  <si>
    <t xml:space="preserve">Reliability improvement of lora with ARQ and relay node</t>
  </si>
  <si>
    <t xml:space="preserve">Choi, R.; Lee, S.; Lee, S.</t>
  </si>
  <si>
    <t xml:space="preserve">Symmetry</t>
  </si>
  <si>
    <t xml:space="preserve">10.3390/sym12040552</t>
  </si>
  <si>
    <t xml:space="preserve">In our modern world, many Internet of Things (IoT) technologies are being researched and developed. IoT devices are currently being used in many fields. IoT devices use Wi-Fi and Bluetooth, however, communication distance is short and battery consumption is high. In areas such as smart cities and smart farms, IoT technology is needed to support a wide coverage with low power consumption. Low Power Wide Area (LPWA), which is a transmission used in IoT supporting a wide area with low power consumption, has evolved. LPWA includes Long Range (LoRa), Narrowband (NB-IoT), and Sigfox. LoRa offers many benefits as it communicates the longest distances, is cheap and consumes less battery. LoRa is used in many countries and covers a range of hundreds of square kilometers (km2) with a single gateway. However, if there are many obstacles to smart cities and smart farms, it causes communication problems. This paper proposes two (2) solutions to this problem: the relay method which is a multi-hop method and the Automatic Repeat Request (ARQ) system that detects packet loss in real-time and requests retransmission for LoRa. In this study, the actual performance of LoRa in the problematic environment was measured and the proposed method was applied. It was confirmed that the transmission rate of LoRa dropped when there were many obstacles such as trees. To use LoRa in a smart farm with a lot of space, multi-hop was observed to be better. An ARQ system is needed to compensate for the unexpected drop in the forward rate due to the increase in IoT devices. This research focused on reliability, however, additional network methods and automatic repeat request (ARQ) systems considering battery time should be researched in symmetry. This study covers the interdisciplinary field of computer science and wireless low power communication engineering. We have analyzed the LoRa/LoRaWAN technology in an experimental approach, which has been somewhat less studied than cellular network or WiFi technology. In addition, we presented and improved the performance evaluation results in consideration of various local and climatic environments. © 2020 by the authors.</t>
  </si>
  <si>
    <t xml:space="preserve">R208</t>
  </si>
  <si>
    <t xml:space="preserve">LOCATE: A LoRa-based mObile emergenCy mAnagement sysTEm</t>
  </si>
  <si>
    <t xml:space="preserve">Sciullo, L.; Fossemó, F.; Trotta, A.; Di Felice, M.</t>
  </si>
  <si>
    <t xml:space="preserve">10.1109/glocom.2018.8647177</t>
  </si>
  <si>
    <t xml:space="preserve">During the occurrence of an emergency, being it the consequence of a natural disaster or of human activities, the pervasiveness of user-owned mobile devices (e.g. smartphones, tablets) turns into a precious help to convey data and services to all the people involved. As a result, several emergency-related mobile applications have been proposed on the market; however, they are often limited by the networking capabilities of the devices, since they are often based on short-range Device-to-Device (D2D) communication technologies (e.g. the Wi-Fi Direct), or on the cellular infrastructure, which might be not available on the emergency scenario. In this paper, we attempt to overcome both such issues, by proposing a novel Emergency Communication System (ECS) which operates over infrastructure-less phonebased networks, and guarantees long-range D2D communication thanks to the LoRa technology. The system, named LOCATE, includes a mobile application, through which users can convey minimal yet vital emergency-related data, and a dissemination protocol, spreading the emergency requests over multi-hop LoRA links. The performance of LOCATE have been evaluated through: (i) an experimental study, assessing the capability of LoRa technology to convey short, emergency messages over long distances, and a (ii) simulation study, demonstrating the effectiveness of the dissemination protocol on large-scale scenarios when compared to state-of-the-art flooding schemes. © 2018 IEEE.</t>
  </si>
  <si>
    <t xml:space="preserve">R209</t>
  </si>
  <si>
    <t xml:space="preserve">Gateway-Diversity-Preserving Multi-Hop Relay With Time-Aware ACK Gateway Selection for LoRaWAN-Oriented Mobile IoT Networks</t>
  </si>
  <si>
    <t xml:space="preserve">Sarma Lanka, V.S.V.G.; Kothandaraman, D.</t>
  </si>
  <si>
    <t xml:space="preserve">10.1109/access.2026.3714528</t>
  </si>
  <si>
    <t xml:space="preserve">LoRaWAN provides long-range and low-power connectivity for Internet of Things (IoT) deployments, but mobile and sparse deployments may suffer from coverage holes, weak direct gateway reachability, and downlink ACK limitations. Existing relay-assisted LoRa approaches mainly focus on packet delivery, delay, or energy efficiency, while the preservation of multi-gateway observations after relay forwarding remains underexplored. This paper proposes Gateway-Diversity-Preserving Multi-Hop Relay (GDP-MH), a LoRaWAN-oriented relay overlay that selects relays not only for delivery recovery but also for preserving gateway observation richness at the Network Server. A Gateway Diversity Estimate (GDE) is introduced to capture each relay's ability to produce multi-gateway packet observations. The framework is further extended through TI-GDP-MH, a time-aware downlink ACK gateway-selection extension that keeps the GDP-MH uplink relay path unchanged and applies ACKScore-FGCC-based gateway selection for confirmed traffic. A six-mode relay evaluation is conducted against single-hop LoRaWAN, sink-oriented multi-hop, opportunistic RSSI, distance-layer relay selection, and a GDE-disabled ablation baseline across four mobility and gateway-density scenarios using an ADR-like SF-aware link model. Results show that GDP-MH preserves relay-level uplink delivery, remaining within approximately 0.23 percentage points of the strongest non-GDP delivery-focused relay baseline. Across the four scenarios, GDP-MH improves the mean gateway-observation count by 4.13-28.74%, TOR2 by 5.23-54.19%, and TOR3 by 7.75-87.66% over the strongest non-GDP delivery-focused relay baseline. Additional fixed-SF and dense-device tests confirm the robustness of the gateway-diversity trend. TI-GDP-MH is evaluated separately as a feasibility-gated downlink ACK-selection extension, and the ACK-time position-error analysis shows that time-aware ACK selection can support downlink decisions when multiple feasible gateways and position uncertainty are present.  © 2013 IEEE.</t>
  </si>
  <si>
    <t xml:space="preserve">R210</t>
  </si>
  <si>
    <t xml:space="preserve">A Hierarchy-Based Energy-Efficient Routing Protocol for LoRa-Mesh Network</t>
  </si>
  <si>
    <t xml:space="preserve">Hong, S.; Yao, F.; Ding, Y.; Yang, S.-H.</t>
  </si>
  <si>
    <t xml:space="preserve">10.1109/jiot.2022.3185619</t>
  </si>
  <si>
    <t xml:space="preserve">LoRa is one of the most promising techniques for the Internet of Things (IoT), and it has attracted considerable attention. Most existing LoRa applications follow the LoRaWAN specification and adopt a star topology. However, LoRaWAN networks are typically limited by their scalability due to the use of a centralized control strategy. The recent development of LoRa-Mesh networks can be a potential solution to this limitation. In this article, we propose a hierarchical-based energy-efficient (HBEE) routing protocol as a desirable method for building LoRa-Mesh networks. The HBEE exhibits the following advantages: 1) it can quickly build the network structure during the network formation stage by using contention-free concurrent transmission; 2) during the routing exploration phase, end-device nodes (ENs) can locate parent ENs with a minimized overhead; and 3) at the data collection stage, packet collision is minimized using multipath and multichannel routing method. Simulations are conducted to evaluate the performance of HBEE, and the results show that HBEE outperforms conventional ad hoc on-demand distance vector routing (AODV) protocol in terms of energy efficiency and transmission delay. Finally, proof-of-concept experiments are implemented in the real world. The results show that the packet reception rate of 95.7% and 89.8% can be achieved during network formation and normal operation phases, respectively.  © 2014 IEEE.</t>
  </si>
  <si>
    <t xml:space="preserve">R211</t>
  </si>
  <si>
    <t xml:space="preserve">End-to-End Encrypted IoT System for Military Communications</t>
  </si>
  <si>
    <t xml:space="preserve">Rahman, M.M.U.; Sunny, M.A.S.; Arman, H.U.; Islam, M.N.; Reza, M.S.; Khan, M.S.A.</t>
  </si>
  <si>
    <t xml:space="preserve">2025 IEEE International Conference on Quantum Photonics, Artificial Intelligence, and Networking, QPAIN 2025</t>
  </si>
  <si>
    <t xml:space="preserve">10.1109/qpain66474.2025.11171856</t>
  </si>
  <si>
    <t xml:space="preserve">This study presents a hybrid IoT communication system designed specifically for military operations. It seamlessly integrates low-latency ESP-NOW, a peer-to-peer wireless communication protocol, with long-range LoRa backhaul to ensure resilient squad-level coordination and secure command-center connectivity under contested conditions. At its core, the system implements end-to-end AES-128-CTR encryption reinforced by HMAC-SHA256 authentication and GPS-synchronized 15-minute key rotations, providing robust data confidentiality and integrity even in adversarial environments. A polymorphic network topology enables sub- 50 ms intra-mesh latency, self-healing under localized jamming, and adaptive spectrum utilization compared to single-protocol deployments. In addition, real-time geospatial tracking at 5 Hz and a three-layer edge-fog-cloud hierarchy support sub-8 s Observe-Orient-Decide-Act (OODA) loops, enhancing situational awareness and decision-making speed. Field trials in a contested 2km2 urban simulation validate compliance with MIL-STD-810H standards and demonstrate 98.7% message integrity over five-hop relays. By addressing security gaps, interoperability, and electromagnetic resilience, this work establishes a cohesive, scalable foundation for next-generation military IoT communications. © 2025 IEEE.</t>
  </si>
  <si>
    <t xml:space="preserve">R212</t>
  </si>
  <si>
    <t xml:space="preserve">Proposal of a Hybrid LoRa Mesh / LoRaWAN Network</t>
  </si>
  <si>
    <t xml:space="preserve">Almeida, N.C.; Rolle, R.P.; Godoy, E.P.; Ferrari, P.; Sisinni, E.</t>
  </si>
  <si>
    <t xml:space="preserve">2020 IEEE International Workshop on Metrology for Industry 4.0 and IoT, MetroInd 4.0 and IoT 2020 - Proceedings</t>
  </si>
  <si>
    <t xml:space="preserve">10.1109/metroind4.0iot48571.2020.9138206</t>
  </si>
  <si>
    <t xml:space="preserve">There is a recent interest in the deployment of Low Power Wide Area Networks (LPWANs), such as LoRaWAN, to support Internet of Things (IoT) applications. Even though the main advantage of these LPWANs are the long rage communication, the challenge of providing seamless and shadow area coverage still remains. This paper presents a proposal of a hybrid LoRa Mesh/LoRaWAN network to cope with this challenge. In this proposal, a mesh network of LoRa nodes are connected to a Proxy node that works as a mesh coordinator and is also connected to the LoRaWAN network. The advantage of this topology is the improvement of the communication coverage in shadow areas where a regular LoRaWAN node cannot be reachable in cases of obstacles or topography. The development of the LoRa Mesh network as well as the routing mechanism are presented and verified with experimental results. Finally, the integration of the LoRa Mesh with the LoRaWAN networks is discussed and a proposal is presented. © 2020 IEEE.</t>
  </si>
  <si>
    <t xml:space="preserve">R213</t>
  </si>
  <si>
    <t xml:space="preserve">OPEnS hub: Real-time data logging, connecting field sensors to google sheets</t>
  </si>
  <si>
    <t xml:space="preserve">DeBell, T.; Goertzen, L.; Larson, L.; Selbie, W.; Selker, J.; Udell, C.</t>
  </si>
  <si>
    <t xml:space="preserve">Frontiers in Earth Science</t>
  </si>
  <si>
    <t xml:space="preserve">10.3389/feart.2019.00137</t>
  </si>
  <si>
    <t xml:space="preserve">In Earth science, we must often collect data from sensors installed in remote locations. Retrieving these data and storing them can be challenging. Present options include proprietary commercial dataloggers, communication devices, and protocols with rigid software and data structures that may require ongoing expenses. While there are open-source solutions that include telemetry, such as EnviroDIY’s Mayfly, none presently generate real-time, remotely accessible workbooks (Aufdenkampe et al., 2017; EnviroDIY, 2018). The Openly Published Environmental Sensing (OPEnS) Lab developed the OPEnS Hub, a new approach to using low-power, open-source hardware and software to achieve real-time data logging from the field to the web. The Hub is an order of magnitude less expensive than commercial products, inherently modular and flexible, and aims to reduce technical barriers for users with little programming experience (DeBell, 2019). Data can be collected remotely using a host of transmission protocols to relay data from distributed in situ monitoring devices. The Hub mesh-networks with several nodes and backs up to an onboard microSD card. Telemetry options include 900 MHz Long Range Radio (LoRa) with up to 25 km range and Nordic Radio Frequency (nRF) for higher data rates (Feather, 2018). Ongoing transmissions from the Hub to the internet currently employ Ethernet with potential support for Wi-Fi and the cell network. The Hub engages a dynamic, low-latency portal to Google Sheets via the free Application Programming Interface (API), PushingBox, and an adaptable Google Apps Script. This framework was tested on 12 individual sensors nodes at remote sites in Oregon. This manuscript details our methods and evaluates PushingBox, Google Apps Script, Adafruit Industries’ open-hardware Feather development boards, the Hypertext Transfer Protocol (HTTP), and the aforementioned modes of data transfer. © 2019 DeBell, Goertzen, Larson, Selbie, Selker and Udell.</t>
  </si>
  <si>
    <t xml:space="preserve">R214</t>
  </si>
  <si>
    <t xml:space="preserve">Research on Wireless Sensor Adaptive Networking for Power Monitoring Based on Ultra Wide Band</t>
  </si>
  <si>
    <t xml:space="preserve">Wen, K.; Zhao, H.; Zhao, S.</t>
  </si>
  <si>
    <t xml:space="preserve">IET Generation, Transmission and Distribution</t>
  </si>
  <si>
    <t xml:space="preserve">10.1049/gtd2.70105</t>
  </si>
  <si>
    <t xml:space="preserve">Monitoring the status of power equipment is a key means of ensuring the power grid's safe, reliable, and economical operation. However, current mature wireless communication technology and networking protocols are constrained by the spectral efficiency bottleneck and multipath sensitivity of narrowband systems, which hinders their ability to fulfill the high-reliability and flexibility transmission needs of large-flow data in power monitoring. This paper proposes an adaptive networking method for power monitoring wireless sensor networks (PMWSN) based on ultra-wideband (UWB), fully leveraging the high bandwidth, high temporal resolution, and physical layer advantages of UWB technology in resisting multipath interference. Because of sensor nodes' weak networking ability in power business scenarios, a new PMWSN architecture is presented, which uses routing nodes with high computing power to collect sensor data and network. The wireless routing and gateway device based on UWB pulse radio characteristics is designed to achieve high-speed and reliable power data through low-power spectral density transmission. Furthermore, an adaptive networking method of PMWSN is proposed, which enables routing nodes to comprehensively calculate the optimal data transmission path and alternative paths based on distance, link quality, and load rate. The experimental results show that the maximum transmission rate of the designed wireless routing device can reach 1.7 Mbps (6.8 times higher than typical industrial IoT protocols such as IEEE 802.15.4 and 170 times higher than LoRa)while maintaining a reliable throughput of 836.5 kbps within a distance of 100 meters. Moreover, the proposed self-organizing network technology can quickly complete the networking process, and the average maximum delay of single-hop data transmission is 3.6 ms. In addition, when a new node joins, or an existing node exits the network, the proposed method can promptly use alternative paths for rapid routing recovery, thereby improving the reliability and anti-destruction capability of the network. © 2025 The Author(s). IET Generation, Transmission &amp; Distribution published by John Wiley &amp; Sons Ltd on behalf of The Institution of Engineering and Technology.</t>
  </si>
  <si>
    <t xml:space="preserve">R215</t>
  </si>
  <si>
    <t xml:space="preserve">Wireless Mesh System Design for Photovoltaic Power Station Based on LoRa</t>
  </si>
  <si>
    <t xml:space="preserve">Zhang, Z.; Zheng, T.; Lin, H.; Pan, X.</t>
  </si>
  <si>
    <t xml:space="preserve">10.1145/3616901.3616917</t>
  </si>
  <si>
    <t xml:space="preserve">Photovoltaic (PV) power stations are usually deployed in remote areas, wherein the power production is adversely affected by natural disasters. Therefore, monitoring and analyzing the operation of PV power station requires the evolution of intelligent communication systems. However, due to the immature development of wireless Mesh networks, there is no unified communication scheme and transmission protocol established in remote intelligent monitoring. To tackle this problem, in this paper, we design a novel communication protocol for PV scenarios by transplanting the CONTIKI operating system on STM32. In particular, we integrate the LoRa terminal device with sensing monitoring to build an energy efficient wireless mesh framework. The designed system can effectively transmit the status of solar panels and the weather conditions to ensure the stability of the PV power plants. By coordinating the status of transmitting devices and designing the dual power supplies, the power consumption can be reduced. To confirm the practical value of the proposed framework, various routing algorithms were simulated using Cooja. The experimental results demonstrate that the proposed framework is capable of achieving stable communication, and hence proves the capability for data transmission in various sensing and acquisition scenarios. © 2023 Copyright held by the owner/author(s). Publication rights licensed to ACM.</t>
  </si>
  <si>
    <t xml:space="preserve">R216</t>
  </si>
  <si>
    <t xml:space="preserve">30th Pacific-Asia Conference on Knowledge Discovery and Data Mining, PAKDD 2026</t>
  </si>
  <si>
    <t xml:space="preserve">The proceedings contain 184 papers. The special focus in this conference is on Knowledge Discovery and Data Mining. The topics include: Beyond Single AI: The Rise of Multi-Agent Orchestration A Survey on Bias, Privacy, Robustness, and Interpretability; evaluation Metrics for Data Valuation Methods; foundation Model-Energized Anomaly Detection and Outlier Detection: A Survey; Opportunities for AutoML in the Agentic Era; A Comprehensive Survey on Enterprise Financial Risk Analysis from Big Data and LLMs Perspective; learning Bloom Filters: A Review; ICL-KB: Charting the Failure Frontier of Few-Shot LLMs; Memory in LLM-Based Multi-agent Systems: Mechanisms, Challenges, and Collective Intelligence; clustering Ensembles: A Data Perspective Survey; federated Large Language Models: Current Progress and Future Directions; DIALEVAL: Automated Type-Theoretic Evaluation of LLM Instruction Following; H2RAG: A Hierarchical Knowledge and Hypergraph Reasoning Framework for Retrieval-Augmented Generation; Adapter-Only Bridging of Frozen Speech Encoder and Frozen LLM for ASR; improving Uncertainty Quantification and Knowledge-Intensive Routing via Query Understanding in Large Language Models; DependencyRAG: Dependency-Guided RAG for Multi-hop Question Answering; Task Complexity Matters: An Empirical Study of Reasoning in LLMs for Sentiment Analysis; GPU Kernel Optimization Beyond Full Builds: An LLM Framework with Minimal Executable Programs; on Reasoning Behind Next Occupation Recommendation; Enhancing LLMs for Manufacturing Information Extraction; RED: Rule Guided Prompt Engineering for Graph Data Imputation; Mixture-of-Adapters with Routed Distillation: Unsupervised Expert Routing for Efficient Multi-task LoRA; Unified Multimodal Retrieval Framework for Multimodal RAG; enhancing Financial Reasoning via Program-of-Thought Learning; uncertainty-Aware Language Guidance for Concept Bottleneck Models; Whose Politics Do LLMs Represent? Uncovering Political Bias in LLMs’ Latent Space: A Case Study in Australia; selective Forgetting for Large Reasoning Models; SELAUR: Self Evolving LLM Agent via Uncertainty-Aware Rewards; GLLM-KT: A Graph-Incorporated Ultra-small Large Language Model for Knowledge Tracing; graph-Based Learning for Taxonomy Optimization.</t>
  </si>
  <si>
    <t xml:space="preserve">R217</t>
  </si>
  <si>
    <t xml:space="preserve">The proceedings contain 67 papers. The topics discussed include: machine learning-based multi-room indoor localization using fingerprint technique; energy-efficient continual learning for autonomous driving; enhanced keystroke dynamics authentication using keystroke vector dissimilarity; R-AODV: reverse ad-hoc on-demand distance vector routing algorithm with lora mesh based for emergency alert system; vision-based excavator control for pick-and-place operation; droop control strategy of controlled three-phase PWM rectifier for hybrid train propulsion; a generation expansion planning procedure considering the construction delay: a case of Sumatra power systems; and Mecanum-wheeled robot control based on deep reinforcement learning.</t>
  </si>
  <si>
    <t xml:space="preserve">R218</t>
  </si>
  <si>
    <t xml:space="preserve">Communication Resilience in Smart Grid Nans: Challenges, Solutions and Future Outlook</t>
  </si>
  <si>
    <t xml:space="preserve">T, A.S.S.; Nagabhyru, K.C.; Inala, R.; Jayakumar, S.; Raj, S.R.A.</t>
  </si>
  <si>
    <t xml:space="preserve">10.1007/978-3-032-20544-5_28</t>
  </si>
  <si>
    <t xml:space="preserve">In smart grid operations, Neighborhood Area Networks (NANs) play a crucial role in ensuring low latency communication but face challenges like congestion and cyberattacks. This paper introduces a multi-controller Software-Defined Networking (SDN) framework integrating a proactive prediction model using Graph Neural Networks (GNN) and a reactive Deep Q-Network (DQN) for real-time routing optimization. The framework features a hybrid failover mechanism for seamless transitions across various technologies (Wi-SUN, LoRa, ZigBee, 5G, and wired PLC) and includes an Intrusion Detection System (IDS) for secure path selection. Implementation using Mininet, NS-3, and real-world datasets demonstrates improved failover latency, throughput, packet delivery ratio, and attack detection accuracy compared to existing methods. © The Author(s), under exclusive license to Springer Nature Switzerland AG 2026.</t>
  </si>
  <si>
    <t xml:space="preserve">R219</t>
  </si>
  <si>
    <t xml:space="preserve">RapidRescue: Seamless Emergency Support Using Mesh Topology</t>
  </si>
  <si>
    <t xml:space="preserve">Kurundkar, S.; Kolhe, P.; Lonkar, T.; Kolekar, A.; Mahalle, V.</t>
  </si>
  <si>
    <t xml:space="preserve">10.1007/978-3-032-18138-1_6</t>
  </si>
  <si>
    <t xml:space="preserve">In India, there were 428,278 crimes against women in 2022. That is a big jump “about 26% higher than in 2016, and from Uttar Pradesh alone over 56,000 of those cases. Common question when bad things happen. To a certain extent, track-record safety system “bad working” because cell is very bad. So help often gets there late; no surprise there. For that reason we created RapidRescue. It’s a security standard that combines different technologies to allow women to get emergency help even in places with poor cell signal. The device employs LoRa mesh networking, GPS and GSM for the transmission of data. It has a simple one-touch button to ask for help, a secure login system, and sends real-time alerts to chosen contacts through IoT technology. We played around with it and its great. Notifications arrived in an avg. It sent data successfully 95% of the time, including in areas of bad reception. Battery life is around 48 h when continuously tracking. Where our project fills in the gaps. The standard cell service is unreliable when you are in rural areas and communication is more reliable. It’s designed to provide a workable, scalable, and dependable solution to making women safer—whether they’re in a busy city or in the rolling hills of countryside. © The Author(s), under exclusive license to Springer Nature Switzerland AG 2026.</t>
  </si>
  <si>
    <t xml:space="preserve">R220</t>
  </si>
  <si>
    <t xml:space="preserve">IoT protocols, architectures, and applications</t>
  </si>
  <si>
    <t xml:space="preserve">Buratti, C.; Ström, E.; Feltrin, L.; Clavier, L.; Gardašević, G.; Blazek, T.; Berbakov, L.; Balan, T.C.; Orozco-Barbosa,…</t>
  </si>
  <si>
    <t xml:space="preserve">Inclusive Radio Communications for 5G and Beyond</t>
  </si>
  <si>
    <t xml:space="preserve">10.1016/b978-0-12-820581-5.00013-4</t>
  </si>
  <si>
    <t xml:space="preserve">The proliferation of embedded systems, wireless technologies, and Internet protocols have made it possible for the Internet-of-things (IoT) to bridge the gap between the physical and the virtual world and thereby enabling monitoring and control of the physical environment by data processing systems. IoT refers to the inter-networking of everyday objects that are equipped with sensing, computing, and communication capabilities. These networks can collaborate to autonomously solve a variety of tasks. Due to the very diverse set of applications and application requirements, there is no single communication technology that is able to provide cost-effective and close to optimal performance in all scenarios. In this chapter, we report on research carried out on a selected number of IoT topics: low-power wide-area networks, in particular, LoRa and narrow-band IoT (NB-IoT); IP version 6 over IEEE 802.15.4 time-slotted channel hopping (6TiSCH); vehicular antenna design, integration, and processing; security aspects for vehicular networks; energy efficiency and harvesting for IoT systems; and software-defined networking/network functions virtualization for (SDN/NFV) IoT. © 2021 Elsevier Ltd All rights reserved.</t>
  </si>
  <si>
    <t xml:space="preserve">R221</t>
  </si>
  <si>
    <t xml:space="preserve">International Conference on Embedded Wireless Systems and Networks, EWSN 2021</t>
  </si>
  <si>
    <t xml:space="preserve">International Conference on Embedded Wireless Systems and Networks</t>
  </si>
  <si>
    <t xml:space="preserve">The proceedings contain 31 papers. The special focus in this conference is on Embedded Wireless Systems and Networks. The topics include: Condor: Mobile golf swing tracking via sensor fusion using conditional generative adversarial networks; lighttour: Enabling museum audio tour with visible light; ensuring end-to-end dependability requirements in cloud-based bluetooth low energy applications; adding security to implantable medical devices: Can we afford it?; a performance study of crypto-hardware in the low-end iot; application-driven privacy-preserving data publishing with correlated attributes; viaduct: Bridging the gap between testbeds and real-world cyber-physical systems; chirpbox: An infrastructure-less lora testbed; mobility in low-power wide-area network over white spaces; power clocks: Dynamic multi-clock management for embedded systems; servous: Cross-technology neighbour discovery and rendezvous for low-power wireless devices; poster: Maestro – an ambient sensing platform with active learning to enable smart applications; poster: Communication failover strategies for dependable smart grid operation; poster: Rssi-based antenna evaluation for robust ble communication in in-car environments; poster: Trace yourself-it could be easy; poster: Exposure notification at hand; poster: Comparison of channel state information driven and rssi-based wifi distance estimation; poster: An internet of things-based vehicle counting system; poster: A neural network based cluster ensemble approach for anomaly detection in dynamic weighted graphs; poster: A real-time social distance measurement and record system for covid-19; demo: Large scale wireless network simulations with tsch-sim; demo: Socraetes: Solar cells recorded and emulated easily; enabling daily tracking of individual’s cognitive state with eyewear; an adaptive and low-complexity routing protocol for distributed airborne networks; opportunities of motion-powered iot systems.</t>
  </si>
  <si>
    <t xml:space="preserve">R222</t>
  </si>
  <si>
    <t xml:space="preserve">Poster Abstract: Voice Messaging over LoRaWAN</t>
  </si>
  <si>
    <t xml:space="preserve">Gottschalk, E.; Petersen, M.N.; Ruepp, S.; Berger, M.S.</t>
  </si>
  <si>
    <t xml:space="preserve">Proceedings - 2026 ACM/IEEE International Conference on Embedded Artificial Intelligence and Sensing Systems - Posters and Demos, SenSys-Adjunct 2026</t>
  </si>
  <si>
    <t xml:space="preserve">10.1109/sensys-adjunct71932.2026.00061</t>
  </si>
  <si>
    <t xml:space="preserve">Low-power wide-area networks (LPWANs) enable energy-efficient long-range communication, but their limited throughput makes transmission of high-entropy data such as voice challenging. We present a complete system for asynchronous, bidirectional voice messaging over LoRaWAN, using Codec2 speech compression and packet-level fragmentation to send multi-second audio. A hardware prototype based on an ESP32 + SX1276 performs on-device sampling, encoding, and playback, while a backend running on Helium's LoRaWAN infrastructure supports message routing and asynchronous downlink retrieval via periodic ping frames. We evaluate transmission time under duty-cycle constraints and analyze realworld operating cost, showing that low-bitrate audio messages can be delivered within minutes at low recurring cost. The design illustrates the feasibility of LoRaWAN for communication modalities beyond scalar telemetry. This addresses the growing need for redundant, off-grid communication layers, with potential applications for users with limited technological proficiency, or in remote and disaster-affected regions where cellular infrastructure is compromised. However, message delivery latency remains on the order of minutes and audio quality is limited by the available bitrate, making the system suitable for specialized use cases rather than conventional voice communication. © 2026 IEEE.</t>
  </si>
  <si>
    <t xml:space="preserve">R223</t>
  </si>
  <si>
    <t xml:space="preserve">27th IEEE International Conference on Network Protocols, ICNP 2019</t>
  </si>
  <si>
    <t xml:space="preserve">Proceedings - International Conference on Network Protocols, ICNP</t>
  </si>
  <si>
    <t xml:space="preserve">The proceedings contain 81 papers. The topics discussed include: multIPathing traffic to reduce entry node exposure in onion routing; unison: enabling content provider/ISP collaboration using a vSwitch abstraction; tailoring onion routing to the Internet of things: security and privacy in untrusted environments; MACS: deep reinforcement learning based SDN controller synchronization policy design; a light-weight trust mechanism for cloud-edge collaboration framework; mLoRa: a multi-packet reception protocol in LoRa networks; and re-architecting the packet core and control plane for future cellular networks.</t>
  </si>
  <si>
    <t xml:space="preserve">R224</t>
  </si>
  <si>
    <t xml:space="preserve">Proceeding - 2021 26th IEEE Asia-Pacific Conference on Communications, APCC 2021</t>
  </si>
  <si>
    <t xml:space="preserve">The proceedings contain 55 papers. The topics discussed include: the smallest perfect quantum accumulate codes; voice pathology detection using support vector machine based on different number of voice signals; a website fingerprinting attack based on the virtual memory of the process on android devices; mitigation of data integrity attacks using blockchain-based intelligent transportation system; consensus transmit power control with optimal search technique for full-duplex wireless multihop networks; performance analysis of lora-based network for commercial applications; bridging the digital divide in Malaysia using fixed wireless access; resilient supply chains 4.0 - a research review; position monitoring system based on hierarchical clustering; and realizing mobile air quality monitoring system: architectural concept and device prototype.</t>
  </si>
  <si>
    <t xml:space="preserve">R225</t>
  </si>
  <si>
    <t xml:space="preserve">Design and Implementation of an Autonomous AI &amp; IoT-Enabled Smart Buoy System for Real-Time Maritime Navigation and Hazard Detection</t>
  </si>
  <si>
    <t xml:space="preserve">Louis, A.P.; Akash, H.; Dhanush, M.; Durgadevi, G.</t>
  </si>
  <si>
    <t xml:space="preserve">Proceedings of 9th International Conference on Trends in Electronics and Informatics, ICOEI 2026</t>
  </si>
  <si>
    <t xml:space="preserve">10.1109/icoei68323.2026.11542113</t>
  </si>
  <si>
    <t xml:space="preserve">Maritime Okay, so even with all these surveillance systems along the coast, safety and navigation are still big concerns. Especially in those remote coastal and offshore areas where one cannot keep an eye on everything all the time. This article highlights a smart buoy system that uses AI and IoT technology to help with navigation and warn people of any dangers in real-time. The system uses a Raspberry Pi with a 5-inch touch screen to facilitate user interaction. It also uses an Arduino Nano-based controller to effectively control hardware components. The GPS module is the most critical component in identifying the exact location. LoRa is used for communication, which is very effective over long distances and is also very reliable. It is solar-powered, meaning it can run 24/7 without having to change the battery. The buoy also has danger alerting systems such as an LCD display, buzzer, and SMS notification to warn people of any dangers. It is intelligent enough to locate itself and its surroundings. It can detect events like unusual movement, collisions, or other hazards and send real-time notifications to remote control centers. The system has been tested and proved to be able to track GPS positions correctly, communicate effectively, and send hazard notifications on time. This means that it really makes a difference in maritime safety. The device is small, with low power consumption, and is priced low enough to be reused for other purposes like ship routing, accident prevention, coastal monitoring, and border protection. The smart buoy system is an example of how AI and IoT can revolutionize maritime safety. It operates continuously through solar power, has LoRa for long-range communication, and provides real-time notifications to ensure continuous monitoring of the waters, even in remote locations. It can also be expanded and repurposed for other uses such as coastal monitoring, border protection, and navigation assistance. Makes as wonder how many accidents could be avoided if more places had something like this. The user interface based on Raspberry Pi and the control system based on Arduino Nano guarantee that the system is computationally efficient and dependable. © 2026 IEEE.</t>
  </si>
  <si>
    <t xml:space="preserve">R226</t>
  </si>
  <si>
    <t xml:space="preserve">Smart Forest Fire Monitoring and Detection System using Microservices and Container-based Virtualization</t>
  </si>
  <si>
    <t xml:space="preserve">Ioannidis, I.; Anagnostopoulos, A.; Mamalis, B.</t>
  </si>
  <si>
    <t xml:space="preserve">Proceedings - 28th Pan-Hellenic Conference on Progress in Computing and Informatics with International Participation, PCI 2024</t>
  </si>
  <si>
    <t xml:space="preserve">10.1145/3716554.3716610</t>
  </si>
  <si>
    <t xml:space="preserve">Fire, a destructive and often life-threatening force of nature, has been a constant companion of humanity throughout its history. The ability to detect fires swiftly and accurately is paramount in mitigating their catastrophic impact. In this paper, we've designed and implemented a smart forest fire monitoring and detection system using microservices and container-based virtualization, having as its primary aim the ability to detect the forest fire as early as possible. The efficient integration of the proposed approach in large-scale distributed environments, exploiting the advantages offered by the above cutting-edge technologies as well as the use of modern orchestrators, is also discussed and documented. © 2024 Copyright held by the owner/author(s).</t>
  </si>
  <si>
    <t xml:space="preserve">R227</t>
  </si>
  <si>
    <t xml:space="preserve">Securing 5G Network using low power wireless personal area network</t>
  </si>
  <si>
    <t xml:space="preserve">Al-Sarray, Z.A.; Mahmood, M.T.; Ibrahim, A.A.</t>
  </si>
  <si>
    <t xml:space="preserve">4th International Symposium on Multidisciplinary Studies and Innovative Technologies, ISMSIT 2020 - Proceedings</t>
  </si>
  <si>
    <t xml:space="preserve">10.1109/ismsit50672.2020.9255054</t>
  </si>
  <si>
    <t xml:space="preserve">The purpose of this work was to get acquainted with wireless communication technologies and the information security challenges they create from the viewpoint of 5G and its preceding technologies. 5th Generation (5G) is becoming a global phenomenon and it is currently being implemented in dozens of countries around the globe with it comes new information security challenges. Potential solutions for the challenges are also offered. The outcome of this research is an overview of information security challenges in 5G using Low-power wireless personal area Network (LPWAN) and in the technologies preceding 5G. Possible information security solutions are presented in this work for the new technologies coming with 5G. This work showed that the new technologies coming with 5G, such as the virtualization of hardware and services as well as the utilization of cloud computing, create completely new areas of attack for networks. With this knowledge, Labelled and Freely Available Dataset from Open-Source Repository will be used and it is possible to prevent attacks targeting networks by implementing necessary information security elements. For the training, testing and validation of our dataset which is an IoT and cyber-security based dataset, a well-known MATLAB R2019a software was used for this purpose. The proposed reinforcement learning algorithm for Securing 5G network is designed for mesh topology from the ground up by the model of the network itself using low power personal area networks. We model the network operating in a finite area with a finite number of nodes distributed inside the area randomly in this algorithm. Hence, we defined the service area of the target network by assuming the finiteness of the network in the model. © 2020 IEEE.</t>
  </si>
  <si>
    <t xml:space="preserve">R228</t>
  </si>
  <si>
    <t xml:space="preserve">Evaluating the Joint Use of LoRaWAN and Bluetooth Mesh to Improve Survivability for Critical Sensor Applications</t>
  </si>
  <si>
    <t xml:space="preserve">Sisinni, E.; Depari, A.; Flammini, A.; Rinaldi, S.; Ferrari, P.</t>
  </si>
  <si>
    <t xml:space="preserve">10.1109/jsen.2024.3403308</t>
  </si>
  <si>
    <t xml:space="preserve">Wide area, wireless, Internet of Things (IoT)-based, distributed sensor systems can be employed in mixed criticality solutions for measurement/detection/signaling of emergencies, dangers, accidents, and disasters. All these scenarios require reliability, security, and safety. This work introduces and characterizes a new proposal to enhance existing LoRaWAN applications by adding a transparent redundant channel just for critical traffic. Network survivability and delivery success of critical messages, even with low LoRaWAN signal quality (as in indoors), is increased. The proposal preserves the LoRaWAN backend structure (including end-to-end (E2E) security) using short-range radios to implement an underlying redundant mesh channel for transparently transporting LoRaWAN traffic of critical applications. Hybrid scenarios with legacy standard nodes coexisting are also permitted. The proof-of-concept combines LoRaWAN and, without losing generality, a redundant channel with Bluetooth mesh (BM). This work includes: metrics definition, evaluation of complex scenario by means of simulations, and real experiments demonstrating feasibility and integration with LoRaWAN-compliant backend using commercial hardware/firmware/software. In particular, results confirm that packet loss in the order of 1% on the BM side can be obtained and therefore the critical traffic delivery success is improved by almost two orders of magnitude. © 2001-2012 IEEE.</t>
  </si>
  <si>
    <t xml:space="preserve">R229</t>
  </si>
  <si>
    <t xml:space="preserve">Trust-based Approach to Secure Low-Power and Lossy Networks Routing Protocol</t>
  </si>
  <si>
    <t xml:space="preserve">Abid, M.; Bahloul, S.N.; Hamlili, S.</t>
  </si>
  <si>
    <t xml:space="preserve">5th International Conference on Networking and Advanced Systems, ICNAS 2021</t>
  </si>
  <si>
    <t xml:space="preserve">10.1109/icnas53565.2021.9628947</t>
  </si>
  <si>
    <t xml:space="preserve">Resource-constrained things can now connect to the Internet through Wireless Personal Area Networks (WPAN) and Low Power Wide Area Networks (LPWAN). Since then, they are vulnerable to both attacks from inside the network and from the Internet as well. Many research has already investigated the security threats of such an environment. In this article, we focus on how securing the RPL routing protocol in such a constrained and vulnerable environment.To tackle these issues, we investigate how trust that is inspired by social human behavior can enhance RPL security. Our trust-based solution enables motes evaluating locally the threat level when interacting with their neighbors. However, evaluating the trust in such environment is a challenge due to various factors to take into account and the motes resource scarcity.To this end, we propose a distributed trust management approach based on machine learning to evaluate trust and detect untrustworthy behaviors. Machine learning-based approach have been widely investigated in IoT and RPL.We evaluate the performance through significant metrics so as to obtain a good assessment of the effectiveness of our method. © 2021 IEEE.</t>
  </si>
  <si>
    <t xml:space="preserve">R230</t>
  </si>
  <si>
    <t xml:space="preserve">Tracking Boats on Amazon Rivers—A Case Study with the LoRa/LoRaWAN</t>
  </si>
  <si>
    <t xml:space="preserve">Rodrigues, M.; dos Santos, A.; Lima, H.; Nogueira, W.; de Lucena Junior, V.</t>
  </si>
  <si>
    <t xml:space="preserve">10.3390/s25020496</t>
  </si>
  <si>
    <t xml:space="preserve">The Amazon region has the largest hydrographic basin in the world. The rivers act as roads, and boats serve as vehicles for transporting passengers and cargo to large urban centers, municipalities, riverside communities, villages, and settlements. The Amazon River transportation system faces critical gaps due to the lack of land infrastructure in certain areas, which makes rivers essential for commerce and access to isolated communities. This work proposes the development of a new hardware platform consisting of a system-in-package (SiP)—iMCP HTLRBL32L and GPS, which enables data transfer over a network with long-range LoRa technology. In addition, we developed a new communication protocol between the end devices called the LoRa Protocol Proprietary (LPP). This protocol allows parameterizable commands (location table, modulation, routing, source and destination DevEUI, and port) to be sent between end devices, providing flexibility in the configuration and management of Internet of Things networks. The results of the practical experiments with the new hardware platform in the communication scenario between the end device and the gateway show that the maximum range was 16.928 km. In the communication scenario between the end devices, the maximum range was 12.447 km. It offers a stable platform for exchanging control information, which is fundamental to the safety of river transport in the Amazon. © 2025 by the authors.</t>
  </si>
  <si>
    <t xml:space="preserve">R231</t>
  </si>
  <si>
    <t xml:space="preserve">A Fuzzy-Enhanced Cost-Aware LoRA Inference Model with Multiple Experts for Cross-Dataset Network Intrusion Detection</t>
  </si>
  <si>
    <t xml:space="preserve">Yang, P.; Chen, D.; Wu, Q.; Ding, Q.</t>
  </si>
  <si>
    <t xml:space="preserve">10.3390/electronics15184283</t>
  </si>
  <si>
    <t xml:space="preserve">Cross-dataset network intrusion detection faces challenges arising from distribution shifts, heterogeneous feature fields, changing attack distributions, and unreliable explanations across data sources. To address these problems, this paper proposes a fuzzy-enhanced cost-aware Low-Rank Adaptation (LoRA) inference model with multiple security experts. The model uses Qwen2.5-7B-Instruct as a shared backbone and constructs five lightweight LoRA security experts for normal traffic, volumetric attacks, code execution attacks, web application attacks, and reconnaissance behaviors. A cost-aware router selects the appropriate expert by jointly considering neural adaptability, fuzzy consistency derived from raw traffic features, inference cost, and runtime load. To improve evaluation reliability, the model further integrates a leakage-free data protocol with separate raw and standardized feature streams, as well as a traffic-semantic consistency verification module. Across four experimental corpora derived from three independently collected data sources, the proposed method achieves a Macro-F1 of 0.887 on the pooled test set. Parameters are selected on the validation set subject to a contradiction rate of no more than 0.05 and a low-confidence trigger rate of no more than 0.10, and are then held fixed for testing. The contradiction rate among test outputs meeting the verification score threshold is 0.048. This metric reflects output consistency under the selected conditions and does not constitute an independent assessment of explanation quality. © 2026 by the authors.</t>
  </si>
  <si>
    <t xml:space="preserve">R232</t>
  </si>
  <si>
    <t xml:space="preserve">Dual-responder and dynamic dual-routing: LoRA-based safety–availability synergy for large language models</t>
  </si>
  <si>
    <t xml:space="preserve">Shen, T.</t>
  </si>
  <si>
    <t xml:space="preserve">Neurocomputing</t>
  </si>
  <si>
    <t xml:space="preserve">10.1016/j.neucom.2026.133756</t>
  </si>
  <si>
    <t xml:space="preserve">Large Language Models (LLMs) have demonstrated remarkable generality and creativity across various domains but also expose significant security risks. Existing defense strategies often rely on strengthened rejection mechanisms to reduce the attack success rate (ASR), which, however, typically comes at the cost of model availability. This paper proposes a method called Dual-Responder and Dynamic Dual-Routing (DR2), which trains an availability responder and a safety responder in parallel on the same base model. Lightweight routing modules are attached to the middle and final hidden layers of the model to enable adaptive security perception and generation tendency control for different input instructions. Experiments on GPT-2, LLaMA, and DeepSeek validate the effectiveness of the proposed method, showing that DR2 achieves a substantial reduction in ASR while maintaining high availability. With minimal structural overhead, the DR2 framework achieves a dynamic balance between safety and availability, demonstrating its universality and efficiency across multiple models and attack scenarios. This work provides a transferable and interpretable solution for security control in trustworthy large language models. © 2026 Elsevier B.V.</t>
  </si>
  <si>
    <t xml:space="preserve">R233</t>
  </si>
  <si>
    <t xml:space="preserve">9th EAI International Conference on Smart Grid and Innovative Frontiers in Telecommunications, SmartGIFT 2024</t>
  </si>
  <si>
    <t xml:space="preserve">The proceedings contain 31 papers. The special focus in this conference is on Smart Grid and Innovative Frontiers in Telecommunications. The topics include: Mapping Optimal Space Simplification Analysis in Triple Phase Shift Control of Dual Active Bridge Converters; Modelling of a Vibration Based Kinetic Energy Harvester for Condition Monitoring and Fault Prediction in HVDC Systems; dual-Attention Fusion Transformer for Electricity Theft Detection to Secure Smart Grids; Multi-objective Optimization of Energy Storage Capacity Using Non-Dominated Sorting Artificial Cooperative Search and Composite Weighted TOPSIS; development of a Cost-Effective V2X Test-Bed to Study the Characteristics of Vehicular Networks; federated Learning-Based Channel Estimation in Vehicular Networks; Deep Q-Network Based Intelligent Traffic Signal Control: Case Study of a Large Single Intersection Using SUMO; DCA-YOLO: Non-Prominent Feature Object Detection Using the Dynamic Convolution Attention YOLO Model; A Cross-Layer Congestion-Aware Routing Protocol for UAV-Aided VANETs with Enhanced Line-of-Sight Communication; Pointing Errors Analysis for Inter-satellite MRR PNC System; Hy-LiRF: Hybrid LiFi and WiFi Network Supporting Seamless Real-Time Transmissions; UAVs-Enabled Maritime Communications: Control Barrier Functions for Physical Secure Systems; A Low-Complexity and High-Performance K-Best GFSK MSDD with LLRs Outputs; Introduction of Direction of Arrival (DOA) Indoor and Outdoor Navigation Based on Machine Learning; Automatic Preamble Extraction System for LPWAN Signals; An Automated Smart Contract Framework for NFT-Based Warranty Management System with Account Abstraction; LTTS-GAN: A Long-Term Time Series Generative Adversarial Network; A Lightweight Encrypted JPEG Image Retrieval Model Based on Self-attention Networks; local-Channel Large Separable Kernel Attention; FLTP: A Fast and Low-Bandwidth Transaction Propagation Protocol in Ethereum; automated Topology Exploration and Design of Passive Microstrip Filters Based on Grid-Like Topology; Physical Layer Security for Omni-DRIS Enhanced Visible Light Communications; a Hybrid Topological Heterostructure for Communication.</t>
  </si>
  <si>
    <t xml:space="preserve">R234</t>
  </si>
  <si>
    <t xml:space="preserve">Secure hyper intelligence in routing protocol with low-power (RPL) Networks in IoT</t>
  </si>
  <si>
    <t xml:space="preserve">Ambika, K.; Malliga, S.</t>
  </si>
  <si>
    <t xml:space="preserve">Advances in Engineering Software</t>
  </si>
  <si>
    <t xml:space="preserve">10.1016/j.advengsoft.2022.103247</t>
  </si>
  <si>
    <t xml:space="preserve">The IoT is beginning at now hopping up, particularly in human organizations and shrewd condition applications including limitless low-controlled sensors and actuators to improve the way of life and acclimate new associations with the framework. Not equivalent to the past light-weight guiding shows focusing on the decline of the control messages, the proposed scheme gives the light-weight IPv6 address auto-plan, IPv6 neighbor revelation, and coordinating show in an IoT skilled infra-less remote frameworks with the sprout filer and redesigned rank thoughts. Furthermore, because of the survey, our proposed plot is subject to the showing of various probability transports in the IoT conditions with the lossy remote association. Specifically, the proposed redesigned RPL-based light-weight guiding show improves the quality with the multi-ways secretly settled reliant on the improved position thoughts regardless of the way that lossy remote associations have existed. It perceives to get to the information uplink and downlink with guaranteeing the exhibition which aides of low information rate in LPWAN (Low Power Wide Area Network) partner with the RPMA (Random Phase Multiple Access). These are for the most part the joining prerequisites that approach low information accepting to play out the hyper-network in IoT. It includes the hyper-availability correspondence to the shared by utilizing the LTE 5 G (Long Term Evolution in 5 G) range used to build the productivity and execution contrasted with existing. It assists with expanding the security without obstruction to MUX/DEMUX and has been accepted in the LP (Low Power) in systems administration and the defensive field added to the correspondence of the hyper-network with the assistance of IoT in the RPL framework. The sign was perceived to be changed by Zigbee and GOA (Grasshopper Optimization Algorithm) throughout the whole correspondence and it was required to satisfy the low piece information move rate while conveying the shared framework. Also, increment the effectiveness and vitality of secure transmission and correspondence in the systems administration framework. © 2022 Elsevier Ltd</t>
  </si>
  <si>
    <t xml:space="preserve">R235</t>
  </si>
  <si>
    <t xml:space="preserve">IoT-Enabled Smart Helmet for Real-Time Safety Monitoring of Underground Mining Workers</t>
  </si>
  <si>
    <t xml:space="preserve">Arulkarthick, E.K.; Pradeep, V.; Rahul, S.; Vignesh, J.</t>
  </si>
  <si>
    <t xml:space="preserve">Proceedings of 4th International Conference on Electronics and Renewable Systems, ICEARS 2026</t>
  </si>
  <si>
    <t xml:space="preserve">10.1109/icears67481.2026.11416606</t>
  </si>
  <si>
    <t xml:space="preserve">Mining is one of the most unsafe trades because it is not visible, gases are poisonous, structural breakdowns, and slow response to emergencies in the underground conditions. The safety of the workers will be ensured by the real-time monitoring and real-time communication systems. A Smart Helmet is discussed in this paper, which aims at improving the safety of underground miners by constantly tracking the environmental factors and the condition of the workers. The system combines MQ-series gas sensors used to sense such toxic gases as methane and carbon monoxide, a BMP280 pressure sensor used to determine the underground depth, and a GPS module used to track the real-time positioning. All sensor data is processed by an ESP32 microcontroller, and the sensor transmits all sensor data via LoRa-based mesh network to a central control station, which can receive the data even in strongly poor-connection tunnels. When the helmet identifies any dangerous situation or irregular depth, the wearer can be alerted immediately by buzzers and lights, as well as emergency information will be transmitted to the control room, and timely rescue operations can be performed. The system is lean and its energy consuming, economical, and can run on its own. This Smart Helmet can greatly increase safety of occupations, prevent the risk of any accidents and increase the efficiency of working conditions during underground mining operations by offering real-time monitoring, instant alerts and long-range communication. © 2026 IEEE.</t>
  </si>
  <si>
    <t xml:space="preserve">R236</t>
  </si>
  <si>
    <t xml:space="preserve">A Proposed Framework to Achieve CIA in IoT Networks</t>
  </si>
  <si>
    <t xml:space="preserve">Mangla, M.; Ambarkar, S.; Akhare, R.; Deokar, S.; Mohanty, S.N.; Satpathy, S.</t>
  </si>
  <si>
    <t xml:space="preserve">10.1007/978-981-16-8546-0_3</t>
  </si>
  <si>
    <t xml:space="preserve">Internet of things (IoT) is a ubiquitous technology that has witnessed its application in numerous applications ranging from agriculture, transportation to healthcare, etc. IoT platform aims toward connecting numerous sensors and actuators (sometimes referred to as edge devices) via the Internet. Here, it is worth mentioning that IoT standard is widely accepted as the prime standard for connecting low power lossy communication containing constrained resources. However, the real-time deployment of these sensors faces various challenges like multi-hop communication, heterogeneous topology, unattended deployment, etc. Apart from these challenges, the most concerning challenge is unsecured communication. As sensors are low power and have limited computational capability (in terms of memory and processing), they do not have any inbuilt security mechanism. Furthermore, the communication protocol used in IoT network like 6LOWPAN, LORA, ZIGBEE, RFID, etc., also have limited security. Thus, security aspect takes a backseat despite rigorous automation and digitization. But security is undoubtedly the most concerning aspect for any application. Hence, our paper focuses on security issues of IoT applications and proposes a secured framework to preserve confidentiality, integrity, and authentication (CIA) with respect to various attacks on IoT network. © 2022, The Author(s), under exclusive license to Springer Nature Singapore Pte Ltd.</t>
  </si>
  <si>
    <t xml:space="preserve">R237</t>
  </si>
  <si>
    <t xml:space="preserve">Building Backhaul Networks for Rural Area Connectivity towards the Fourth Industrial Revolution</t>
  </si>
  <si>
    <t xml:space="preserve">Sheikh, S.M.; Ben Halima, N.</t>
  </si>
  <si>
    <t xml:space="preserve">ICCAIS 2020 - 3rd International Conference on Computer Applications and Information Security</t>
  </si>
  <si>
    <t xml:space="preserve">10.1109/iccais48893.2020.9096824</t>
  </si>
  <si>
    <t xml:space="preserve">The fourth industrial revolution (4IR) is expected to change our lives. One of the main players towards 4IR will be Internet of Things (IoT). The main limiting factor for minimum IoT application implementation in Sub-Saharan Africa rural areas is that many areas do not have communication infrastructures mainly due to budget constraints. Recently Long Range (LoRA) has been gaining research for such applications. In this paper we present the concept that multi-hop networks based on IEEE802.11 and Schedule before Contention Scheduling strategies can also provide backhaul communication infrastructure. The use of the RWS-AGE Strategy tested in multi-hop networks in this paper has shown a reduction in the number of collisions, packet loss and end-to-end latency compared to Enhanced Distributed Channel Access (EDCA). © 2020 IEEE.</t>
  </si>
  <si>
    <t xml:space="preserve">R238</t>
  </si>
  <si>
    <t xml:space="preserve">A low-cost jamming detection approach using performance metrics in cluster-based wireless sensor networks</t>
  </si>
  <si>
    <t xml:space="preserve">Del-Valle-soto, C.; Mex-Perera, C.; Nolazco-Flores, J.A.; Rodríguez, A.; Rosas-Caro, J.C.; Martínez-Herrera, A.F.</t>
  </si>
  <si>
    <t xml:space="preserve">Sensors (Switzerland)</t>
  </si>
  <si>
    <t xml:space="preserve">10.3390/s21041179</t>
  </si>
  <si>
    <t xml:space="preserve">Wireless Sensor Networks constitute an important part of the Internet of Things, and in a similar way to other wireless technologies, seek competitiveness concerning savings in energy consumption and information availability. These devices (sensors) are typically battery operated and distributed throughout a scenario of particular interest. However, they are prone to interference attacks which we know as jamming. The detection of anomalous behavior in the network is a subject of study where the routing protocol and the nodes increase power consumption, which is detrimental to the network’s performance. In this work, a simple jamming detection algorithm is proposed based on an exhaustive study of performance metrics related to the routing protocol and a significant impact on node energy. With this approach, the proposed algorithm detects areas of affected nodes with minimal energy expenditure. Detection is evaluated for four known cluster-based protocols: PEGASIS, TEEN, LEACH, and HPAR. The experiments analyze the protocols’ performance through the metrics chosen for a jamming detection algorithm. Finally, we conducted real experimentation with the best performing wireless protocols currently used, such as Zigbee and LoRa. © 2021 by the authors. Licensee MDPI, Basel, Switzerland.</t>
  </si>
  <si>
    <t xml:space="preserve">R239</t>
  </si>
  <si>
    <t xml:space="preserve">Comparative Evaluation of IoT Mesh Network Protocols: NeoMesh Versus LoRa Pymesh</t>
  </si>
  <si>
    <t xml:space="preserve">2023 International Conference on Cloud Computing and Artificial Intelligence: Technologies and Applications, CloudTech 2023</t>
  </si>
  <si>
    <t xml:space="preserve">10.1109/cloudtech58737.2023.10366151</t>
  </si>
  <si>
    <t xml:space="preserve">Choosing the appropriate IoT mesh network protocols for implementation relies on an enterprise's specific application or ecosystem. Factors such as the network size, required latency, power consumption, security level, desired throughput, overall reliability, and performance collectively dictate the mesh networking protocol necessary for an organization. Neocortec's NeoMesh platform is a connectivity solution grounded in mesh topology, equipped with features tailored for enhanced reliability in ultra-low-power applications. Pycom's Pymesh platform, on the other hand, is an implementation of the LoRa mesh based on the open-source project Open Thread, actively developed and supported by industry leaders. Despite Open Thread being rooted in 802.15.4-2006, its high flexibility and layered architecture enable compatibility with LoRa Radio. Within the realm of Low Power Wide Area Network (LPWAN) technologies, NeoMesh and the long-range Pymesh LoRa stand out as two prominent mesh technologies. This paper delves into a comprehensive survey of NeoMesh and Pymesh LoRa, positioning them as efficient solutions for device connectivity. The analysis reveals that NeoMesh holds advantages concerning battery lifetime, reliability, security, capacity, and cost. In contrast, Pymesh offers benefits in terms of latency and range.  © 2023 IEEE.</t>
  </si>
  <si>
    <t xml:space="preserve">R240</t>
  </si>
  <si>
    <t xml:space="preserve">Enhancing Security and Trust in Internet of Things through Meshtastic Protocol Utilising Low-Range Technology</t>
  </si>
  <si>
    <t xml:space="preserve">Messina, F.; Santoro, C.; Santoro, F.F.</t>
  </si>
  <si>
    <t xml:space="preserve">10.3390/electronics13061055</t>
  </si>
  <si>
    <t xml:space="preserve">The rapid proliferation of Internet of Things (IoT) devices has raised significant concerns regarding the trustworthiness of IoT devices, which is becoming a crucial aspect of our daily lives. In this paper, we deal with this important aspect by taking into account Meshtastic, a dynamic mesh networking protocol that offers robustness and adaptability, important characteristics for the dynamic and heterogeneous IoT environment. LoRaWAN (Low-Range Wide Area Network), a low-power, long-range wireless communication standard, introduces energy efficiency and extends the reach of IoT networks, enabling secure communication over extended distances. To improve the trustworthiness of IoT devices, we present an integrated approach that leverages the strengths of Meshstastic’s dynamic mesh networking capabilities and LoRa’s low-power, long-range communication, along with the integration of a reputation model specifically designed for IoT. We evaluated the performance of the proposed solution through several simulations and real-world experiments. The results show that the devices’ measured values of trust reflect the real behaviour of the devices. These findings underscore the viability and applicability of the Meshtastic protocol utilising LoRa technology as a pivotal step towards establishing resilient and trustworthy IoT infrastructures in the face of evolving security challenges. © 2024 by the authors.</t>
  </si>
  <si>
    <t xml:space="preserve">R241</t>
  </si>
  <si>
    <t xml:space="preserve">Factual Data Protection Procedure on IoT-Based Customized Medicament Innovations</t>
  </si>
  <si>
    <t xml:space="preserve">Srinivasan, N.; Anantha Sivaprakasam, S.</t>
  </si>
  <si>
    <t xml:space="preserve">IFIP Advances in Information and Communication Technology</t>
  </si>
  <si>
    <t xml:space="preserve">10.1007/978-3-031-16364-7_5</t>
  </si>
  <si>
    <t xml:space="preserve">The basic values of urban communities in terms of smart worlds modified quickly by innovative industry. Mini sensor systems and smart access points are heavily involved to use the surrounding atmosphere data. In all industrial Internet of Things, it has been used to remotely capture and interpret real-time data. Since the Interoperable ecosystem collects and discloses data via unsecure government networks, an effective Encryption and Schlissel Agreement approach to avoid un authorized access is preferred. The Internet of Medical Stuff has grown into an expert technology infrastructure in the medical industry. The clinical symptoms of patients are obtained and analyzed. The clinical smart objects, incorporated in the human chest, must be studied functionally. In exchange, it will use smart mobile devices to provide the patient medical records. Although the data obtained by patients is so delicate that it is not a medical profession, the safety and protection of medical data becomes a problem for the IoM. Thus, a user authentication protocol based on anonymity is chosen to solve problems in IoM about the security of privacy. A reliable and transparent facial recognition user identification scheme is introduced in this paper in order to ensure safe contact in smart healthcare. This report also indicates that a competitor cannot unlawfully view or remove the intelligent handheld card as a lawful user. A comprehensive review on the basis of the model of random oracles and resource analysis is given to illustrate medical applications’ security and resource performance. Moreover, the proposed schema foresees that it has high-safety characteristics to develop intelligent IoM health application systems as a result of the performance review. This application system uses ADV routing protocol. For the analyses of routing protocols with the NS3 emulator, experimental research was performed here. The findings obtained have been comparable to several other protocols in terms of the packet processing, end-to-end delay, throughput speeds and overhead route for the proposed SAB-UAS. © 2022, IFIP International Federation for Information Processing.</t>
  </si>
  <si>
    <t xml:space="preserve">R242</t>
  </si>
  <si>
    <t xml:space="preserve">Comprehensive Research on Trust-Based Clustering and Routing for Secure Network Communication</t>
  </si>
  <si>
    <t xml:space="preserve">Ashok, T.; Nagaraju, S.</t>
  </si>
  <si>
    <t xml:space="preserve">5th IEEE International Conference on Mobile Networks and Wireless Communications, ICMNWC 2025</t>
  </si>
  <si>
    <t xml:space="preserve">10.1109/icmnwc66779.2025.11354222</t>
  </si>
  <si>
    <t xml:space="preserve">In recent years, trust-based clustering and routing has emerged as an effective approach for enhancing security and energy efficiency in the context of Wireless Sensor Networks (WSNs), Mobile Ad Hoc Networks (MANETs) and Internet of Things (IoT). By combining trust evaluation with clustering and routing mechanisms, these methods ensure secure data delivery by isolating malicious nodes. The optimization algorithms such as Particle Swarm Optimization (PSO), Genetic Algorithm (GA), Bacteria Foraging Optimization (BFO) and Crow Search (CS) effectively enabled intelligent cluster head selection and energy-aware routing, whereas Machine Learning (ML) and Deep Learning (DL) techniques introduced predictive trust modelling and adaptive decision making. With rising adoption of Low Power Wide Area Network (LPWAN) technologies like LoRaWAN, combination of trust-based optimization becomes required for ensuring secure, long-range and energy-constrained communications in IoT deployments. Despite these advancements, existing models face challenges like high computational overhead, difficulty in handling dynamic topologies, limited scalability and vulnerability to sophisticated attacks. This survey presents survey of recent optimization-driven and learning-assisted trust-based clustering and routing approaches by highlighting their methodologies, performance benefits and limitations for large-scale real-time deployments.  © 2025 IEEE.</t>
  </si>
  <si>
    <t xml:space="preserve">R243</t>
  </si>
  <si>
    <t xml:space="preserve">3rd International Conference on Internet of Things, Communication and Intelligent Technology, IoTCIT 2024</t>
  </si>
  <si>
    <t xml:space="preserve">The proceedings contain 51 papers. The special focus in this conference is on Internet of Things, Communication and Intelligent Technology. The topics include: Design of Helmet Wearing Detection System Based on Cloud Edge Collaboration Technology; a Novel Multi-attention Convolutional Method for Human Activity Recognition; Research on 0.46 THz Ultra-High Order Harmonic Gyrotron Based on Axis-Encircling Electron Beam; Joint Beamforming and Trajectory Design for UAV-Assisted Power Grid Inspection with Integrated Sensing and Communication; an Efficient Routing Algorithm for Sea Buoy Network; Securing VANETs with Decentralized Certificate Management: A Tangle-Based Approach; a Dynamic Negative Sampling-Based Unsupervised Contrastive Learning for Hyperspectral Anomaly Detection; research and Application of Network Remote Operation Security Based on Sqlite Database; Compact Universal UHF Printed Dipole Antenna for Handheld RFID Readers; massive Internet of Things Terminal Security Control Technology Based on Malicious Behavior Multiple Network Traces Detection Association; research on Attack Path Prediction of Cyber-Physical Systems in Power Generation Side Based on Weighted Colored Petri Net; Rehabilitation Action Recognition Based on Deep Learning: A Hybrid Model Combining SE-ResBlock3D and LSTM; an Automatic Assignment Model for Power Operation and Maintenance Work Orders Based on Fit Degree; theoretical Proposal of a High Efficiency and Broadband Polarization Conversion Metasurface; iospheric Storm Monitoring and Positioning Method Based on Dual-Frequency Combination; Intelligent Agricultural Greenhouse Data Acquisition and Transmission and Equipment Control System Based on IOT; quantum Key Distribution Mechanism for Smart Grids; design and Implementation of Soil Monitoring System Based on LoRa; an Intelligent Logic Simulation System Method of Embedded Device.</t>
  </si>
  <si>
    <t xml:space="preserve">R244</t>
  </si>
  <si>
    <t xml:space="preserve">Optimising Connectivity and Energy: The Future of LoRaWAN Routing Protocols for Mobile IoT Applications</t>
  </si>
  <si>
    <t xml:space="preserve">Buang, I.N.; Zen, K.; Junaini, S.N.</t>
  </si>
  <si>
    <t xml:space="preserve">Applications of Modelling and Simulation</t>
  </si>
  <si>
    <t xml:space="preserve">The proliferation of Internet of Things (IoT) applications has significantly increased the demand for communication protocols that are both resilient and energy-efficient. Among these, Low Power Wide Area Network (LPWAN) technologies-specifically Long-Range Wide Area Network (LoRaWAN)-offer long-distance wireless connectivity for IoT devices, characterized by their extended transmission range and minimal energy consumption. However, the mobility of IoT devices introduces challenges in optimizing energy efficiency. This study provides a comprehensive review of energy-efficient routing algorithms for LoRaWAN in mobile IoT applications. A systematic approach is employed, adhering to the Preferred Reporting Items for Systematic Reviews and Meta-Analyses (PRISMA) guidelines, to identify, evaluate, and synthesize pertinent literature, offering an in-depth exploration of existing methodologies, their advantages and limitations, and potential avenues for future research. Key topics examined include AI-enhanced adaptive data rate (ADR) methods, coding schemes based on the Chinese Remainder Theorem (CRT), and processes utilizing Variable Order Hidden Markov Models (VHMM). These approaches have demonstrated improvements in packet delivery ratios (PDRs), latency reduction, and energy efficiency within mobile IoT contexts. Despite notable advancements, significant opportunities remain for enhancing scalability, developing hybrid solutions, applying these methodologies in real-world contexts, and implementing robust security protocols. This paper contributes valuable insights into the current landscape of energy-aware routing protocols for LoRaWAN in mobile IoT applications and outlines critical areas for future research aimed at achieving sustainable and efficient IoT networks. © 2025 The Authors.</t>
  </si>
  <si>
    <t xml:space="preserve">R245</t>
  </si>
  <si>
    <t xml:space="preserve">Game-Theoretic Adaptive Routing and Integrated Security Framework for Multi-Hop LoRaWAN Networks</t>
  </si>
  <si>
    <t xml:space="preserve">Alajmi, A.; Ghandoura, A.; Motwakel, A.; Abdelhady, G.</t>
  </si>
  <si>
    <t xml:space="preserve">10.1109/jiot.2026.3675915</t>
  </si>
  <si>
    <t xml:space="preserve">Multi-hop Long Range Wide Area Network (LoRaWAN) deployments supporting mission-critical applications face serious limitations when static routing protocols are unable to adapt to changing network conditions or routing-layer security threats. Our analysis indicates that static routing protocols can experience up to 43% degradation in packet delivery ratio under selective forwarding attacks compared to normal operating conditions. Current approaches offer limited capability to autonomously respond to topology changes, device failures, or varying traffic loads. This paper introduces a game-theoretic adaptive routing framework combined with reinforcement learning to dynamically optimize path selection in multi-hop LoRaWAN networks. The proposed framework operates entirely on the network server, while end devices perform only lightweight state reporting, ensuring compatibility with Class A LoRaWAN devices. Trust information derived from security monitoring is incorporated to balance performance objectives with security-aware routing decisions. The approach is evaluated through large-scale simulations with network sizes ranging from 100 to 2000 nodes. The results show consistent improvements in packet delivery ratio and latency compared to static routing across the evaluated scenarios, while maintaining stable performance under attack conditions. Attack detection achieves high precision (92.0%) with a low false positive rate (0.65%), with an average detection time of 26.6±6.8 seconds. Integration overhead remains limited, resulting in minimal additional energy consumption. © 2014 IEEE.</t>
  </si>
  <si>
    <t xml:space="preserve">R246</t>
  </si>
  <si>
    <t xml:space="preserve">CRYBLOCK 2018 - Proceedings of the 1st Workshop on Cryptocurrencies and Blockchains for Distributed Systems, Part of MobiSys 2018</t>
  </si>
  <si>
    <t xml:space="preserve">The proceedings contain 20 papers. The topics discussed include: ChainSoft: collaborative software development using smart contracts; hierarchical interactions between Ethereum smart contracts across testnets; towards blockchain-enabled-wireless mesh networks; open peer-to-peer systems over blockchain and IPFS: an agent oriented framework; resilient, crowd-sourced LPWAN infrastructure using blockchain; block-supply chain: a new anti-counterfeiting supply chain using NFC and blockchain; non-blocking two phase commit using blockchain; number of confirmation blocks for bitcoin and GHOST consensus protocols on networks with delayed message delivery; blockchain enlightenment and smart city cryptopolis; conquering generals: an NP-hard proof of usefulwork; securing physical assets on the blockchain; blockchain-based identity management with mobile device; mitigating IoT device based DDOS attacks using blockchain; Mars: monetized ad-hoc routing system; chargeitup: a blockchain-based technologies for autonomous vehicles; a blockchain-based flight data recorder for cloud accountability; feather forking as a positive force: incentivising green energy production in a blockchain-based smart grid; and federated byzantine agreement to ensure trustworthiness of digital manufacturing platforms.</t>
  </si>
  <si>
    <t xml:space="preserve">R247</t>
  </si>
  <si>
    <t xml:space="preserve">Proceedings of 6th International Conference on IoT Based Control Networks and Intelligent Systems, ICICNIS 2025</t>
  </si>
  <si>
    <t xml:space="preserve">The proceedings contain 342 papers. The topics discussed include: smart cultural mapping: an integrated Google Maps API and AI chatbot solution for personalized heritage recommendation and real-time preservation reporting; bean leaf lesion classification using fine-tuned EfficientNetV2 for early disease detection; transparent loan risk assessment through machine and deep learning; study and performance analysis of different substrates for a two-port wearable MIMO antenna in security and surveillance applications; deep residual learning framework for automated coffee bean classification across roast levels; a blockchain-based framework for securing cybernetics control networks in smart cities; and optimized traffic management using LoRa–based vehicle-to-vehicle communication framework for emergency vehicle routing in smart cities.</t>
  </si>
  <si>
    <t xml:space="preserve">R248</t>
  </si>
  <si>
    <t xml:space="preserve">Resilient Chaotic Cross-Layer Routing for Smart Grid IoT Networks</t>
  </si>
  <si>
    <t xml:space="preserve">Bhatt, D.; Kurup, A.; Mala, R.C.</t>
  </si>
  <si>
    <t xml:space="preserve">Proceedings of the 2026 4th International Conference on Secure Cyber Computing and Communications, ICSCCC 2026</t>
  </si>
  <si>
    <t xml:space="preserve">10.1109/icsccc69031.2026.11600121</t>
  </si>
  <si>
    <t xml:space="preserve">This paper presents the Distributed Adaptive Multi-Radio Cross-Layer Routing (DAMCR) protocol, designed to enhance reliability, adaptability, and energy efficiency in smart grid and industrial Internet of Things (IoT) communication networks. DAMCR integrates Chaotic Frequency-Hopping Spread Spectrum (C-FHSS) to improve physical-layer security and jamming resilience with Link-Adaptive Quality Power Control (LAQPC) to dynamically regulate transmission power based on instantaneous link quality and residual node energy. To meet heterogeneous traffic requirements, the protocol incorporates priority-aware message classification that differentiates between periodic monitoring data and time-critical fault and protection messages. The proposed framework is implemented and evaluated in MATLAB using a heterogeneous network composed of LoRa, Wi-Fi, and dual-radio nodes operating under AWGN, Rayleigh, and Rician fading environments. Extensive simulation results demonstrate that DAMCR consistently achieves a Packet Delivery Ratio (PDR) exceeding 98% across all evaluated scenarios, while maintaining end-to-end latency between 17 and 23 ms, even under controlled jamming attacks. These results confirm that the tight integration of chaos-based spectrum agility, cross-technology routing, and energy-aware cross-layer adaptation significantly improves communication reliability, latency stability, and resilience compared to conventional single-radio and static-routing protocols. © 2026 IEEE.</t>
  </si>
  <si>
    <t xml:space="preserve">R249</t>
  </si>
  <si>
    <t xml:space="preserve">A Review of Delay-Tolerant Networks for IoT: Multidimensional Taxonomy and Deployment Perspectives</t>
  </si>
  <si>
    <t xml:space="preserve">Hachim, U.S.; Abu-Samah, A.; Abdullah, N.F.; Alaoui, E.A.A.; Nordin, R.</t>
  </si>
  <si>
    <t xml:space="preserve">10.1109/jiot.2026.3712402</t>
  </si>
  <si>
    <t xml:space="preserve">Delay-tolerant networks (DTNs), originally developed for interplanetary communication, have emerged as a key enabler for reliable data delivery in resource-constrained and intermittently connected Internet of Things (IoT) environments, including disaster-affected regions, infrastructure-limited rural deployments, and massive machine-type communication (mMTC) systems for beyond-5G networks. This review provides a comprehensive and structured examination of DTN integration within IoT systems through three major contributions. First, this article presents the fundamental concepts of DTNs, including node architectures, protocol layers, routing protocol classifications, and security requirements relevant to IoT-DTN environments. It further discusses IoT adaptation features, mobile DTN nodes, and real-world deployment case studies. Second, this article proposes a 4-D taxonomy for IoT-DTN systems based on the protocol classification, routing strategies, application domains, technology integration (X-DTN), and mobility-model distribution. The taxonomy is constructed from insights derived from representative operational deployments and existing literature. Third, this article analyses current deployment challenges, including latency, scalability, security, and energy efficiency, while identifying future research directions for resilient large-scale IoT connectivity. In addition, the review highlights emerging developments in machine-learning (ML)-assisted routing, graph neural network (GNN)-based forwarding, and hybrid LoRa/BLE-DTN architectures as promising approaches for adaptive and intelligent DTN-enabled IoT systems. Overall, this article serves as a reference framework for researchers and practitioners developing next-generation resilient IoT communication infrastructures. © 2014 IEEE.</t>
  </si>
  <si>
    <t xml:space="preserve">R250</t>
  </si>
  <si>
    <t xml:space="preserve">Event Patterns Enhancing Causal Reasoning Method Incorporating Category Theory for Stored Grain Pests</t>
  </si>
  <si>
    <t xml:space="preserve">Xiao, L.; Zhang, Y.; Wang, S.; Yang, Z.; Zhang, Q.</t>
  </si>
  <si>
    <t xml:space="preserve">AgriEngineering</t>
  </si>
  <si>
    <t xml:space="preserve">10.3390/agriengineering8030093</t>
  </si>
  <si>
    <t xml:space="preserve">Outbreaks of stored grain pests can pose significant threats to food security. In-depth analyses of sudden outbreaks are key to achieving effective prevention and control. To address the issue of models’ insufficient reasoning capability arising from complex causal relationships in stored grain pest events, this study proposes an Event Patterns Enhancing Causal Reasoning (EPECR) method incorporating category theory. Specifically, we focus on common pests such as Sitophilus zeamais (maize weevil) and Sitotroga cerealella (Angoumois grain moth). We formally map the domain ontology—including entities like environmental factors (e.g., temperature, humidity) and control measures (e.g., fumigation)—to categories, and represent their inter-relationships (e.g., inhibition, promotion) as functors. To handle complex scenarios, we model multi-cause events (e.g., high temperature and humidity jointly accelerating pest reproduction) using functor products, and represent multi-hop events (e.g., environmental changes leading to pest outbreak and subsequent grain loss) through functor compositions. This formal expression enables Large Language Models (LLMs) to extract reliable event patterns. Based on these patterns, this study constructed 1440 structured datasets and adopted the Low-Rank Adaptation (LoRA) strategy to fine-tune the LLMs. Experiments on the domain-specific Stored Grain Pest Events Dataset (SGPE) demonstrate that EPECR achieves a reasoning accuracy of 85.9% on in-distribution data and 79.9% on out-of-distribution data, effectively identifying correct causal chains for pest logic. This method significantly outperforms the state-of-the-art domain method-Naive Augmentations (NA)-by 4.9%, providing precise decision support for the early warning and control of specific pest incidents. © 2026 by the authors.</t>
  </si>
  <si>
    <t xml:space="preserve">R251</t>
  </si>
  <si>
    <t xml:space="preserve">Hybrid lora-ieee 802.11s opportunistic mesh networking for flexible uav swarming</t>
  </si>
  <si>
    <t xml:space="preserve">Davoli, L.; Pagliari, E.; Ferrari, G.</t>
  </si>
  <si>
    <t xml:space="preserve">Drones</t>
  </si>
  <si>
    <t xml:space="preserve">10.3390/drones5020026</t>
  </si>
  <si>
    <t xml:space="preserve">Unmanned Aerial Vehicles (UAVs) and small drones are nowadays being widely used in heterogeneous use cases: aerial photography, precise agriculture, inspections, environmental data collection, search-and-rescue operations, surveillance applications, and more. When designing UAV swarm-based applications, a key “ingredient” to make them effective is the communication system (possible involving multiple protocols) shared by flying drones and terrestrial base stations. When compared to ground communication systems for swarms of terrestrial vehicles, one of the main advantages of UAV-based communications is the presence of direct Line-of-Sight (LOS) links between flying UAVs operating at an altitude of tens of meters, often ensuring direct visibility among themselves and even with some ground Base Transceiver Stations (BTSs). Therefore, the adoption of proper networking strategies for UAV swarms allows users to exchange data at distances (significantly) longer than in ground applications. In this paper, we propose a hybrid communication architecture for UAV swarms, leveraging heterogeneous radio mesh networking based on long-range communication protocols—such as LoRa and LoRaWAN—and IEEE 802.11s protocols. We then discuss its strengths, constraints, viable implementation, and relevant reference use cases. © 2021 by the authors. Licensee MDPI, Basel, Switzerland.</t>
  </si>
  <si>
    <t xml:space="preserve">R252</t>
  </si>
  <si>
    <t xml:space="preserve">2023 15th International Conference on Communication Software and Networks, ICCSN 2023</t>
  </si>
  <si>
    <t xml:space="preserve">The proceedings contain 85 papers. The topics discussed include: experimental saturation characteristics of PMT from DC to 1GHz and adaptive compensation algorithm for high-speed UOWC; SDN multi-domain routing for knowledge-defined networking; an intelligent routing mechanism based on deep reinforcement learning; incompatibility-aware joint routing and partitioned scheduling mechanism in time-sensitive networking; software design and implementation of intelligent security system based on LoRa; a secure clustering routing mechanism based on trust evaluation in WSN; D2D communication power control based on deep Q learning and fractional frequency reuse; a resource awareness mechanism for power industry computing force network; a vertical handoff algorithm for maritime communication in heterogeneous networks; and resource management algorithms for heterogeneous networks.</t>
  </si>
  <si>
    <t xml:space="preserve">R253</t>
  </si>
  <si>
    <t xml:space="preserve">Artificial Intelligence in Mitigating Security Threats for Lightweight IoT Devices: A Survey of Technologies, Protocols, and Future Challenges</t>
  </si>
  <si>
    <t xml:space="preserve">Ouyang, N.; Shatte, A.; Lu, Z.; Chen, C.; Xiang, W.</t>
  </si>
  <si>
    <t xml:space="preserve">10.1109/jiot.2025.3649316</t>
  </si>
  <si>
    <t xml:space="preserve">Lightweight Internet of Things (IoT) devices - microcontroller-class nodes with less than 512-kB RAM, sub-100-MHz clocks, and low-power radios [Bluetooth low energy (BLE), Zigbee, LoRa, and narrowband IoT (NB-IoT)] - are now widely deployed in settings, where traditional security stacks are infeasible. This survey examines how artificial intelligence (AI) can harden such constrained platforms against device-, network-, and application-layer threats, including spoofing, routing manipulation, DDoS, malware, and advanced persistent threats (APTs). We: 1) formalize a lightweight envelope that bounds feasible defenses in terms of RAM, CPU, bandwidth, and energy; 2) consolidate protocol-side risks across BLE, Zigbee, and LoRaWAN; and 3) review deployable AI techniques through a deployment-first lens that separates training [edge, cloud, and federated learning (FL)] from on-device inference. Distinct from prior surveys, we provide resource-annotated comparisons that report accuracy alongside model size, peak RAM, latency, and estimated energy per inference, showing how pruning, posttraining quantization, distillation, and feature narrowing shift feasibility on microcontroller unit (MCU) targets. Covered methods include compact classifiers [linear models, trees, and support vector machine (SVM)], quantized TinyCNN/TinyRNN, and graph-based intrusion detection (IDS), reinforcement learning (RL) for adaptive rate limiting and channel selection, and privacy-preserving FL with update compression. We conclude with a pragmatic agenda - energy-adaptive inference, low-power wide-area network (LPWAN)-aware scheduling and FL, robustness to poisoning and evasion, and reproducible benchmarks that couple accuracy with size/latency/energy on real hardware - aimed at making AI-based security practical at scale for lightweight IoT deployments.  © 2014 IEEE.</t>
  </si>
  <si>
    <t xml:space="preserve">R254</t>
  </si>
  <si>
    <t xml:space="preserve">On Spatial-Provenance Recovery in Wireless Networks With Relaxed-Privacy Constraints</t>
  </si>
  <si>
    <t xml:space="preserve">Bansal, M.; Shrivastava, P.; Jagadeesh, H.</t>
  </si>
  <si>
    <t xml:space="preserve">IEEE Transactions on Dependable and Secure Computing</t>
  </si>
  <si>
    <t xml:space="preserve">10.1109/tdsc.2025.3611414</t>
  </si>
  <si>
    <t xml:space="preserve">In Vehicle-to-Everything (V2X) networks with multi-hop communication, Road Side Units (RSUs) intend to gather location data from the vehicles to offer various location-based services. Although vehicles use the Global Positioning System (GPS) for navigation, they may refrain from sharing their exact GPS coordinates to the RSUs due to privacy considerations. Thus, to address the localization expectations of the RSUs and the privacy concerns of the vehicles, we introduce a relaxed-privacy model wherein the vehicles share their partial location information in order to avail the location-based services. To implement this notion of relaxed-privacy, we propose a low-latency protocol for spatial-provenance recovery, wherein vehicles use correlated linear Bloom filters to embed their position information. Our proposed spatial-provenance recovery process takes into account the resolution of localization, the underlying ad hoc protocol, and the coverage range of the wireless technology used by the vehicles. Through a rigorous theoretical analysis, we present extensive analysis on the underlying trade-off between relaxed-privacy and the communication-overhead of the protocol. Finally, using a wireless testbed, we show that our proposed method requires a few bits in the packet header to provide security features such as localizing a low-power jammer executing a denial-of-service attack. © 2004-2012 IEEE.</t>
  </si>
  <si>
    <t xml:space="preserve">R255</t>
  </si>
  <si>
    <t xml:space="preserve">Internet of Things: Applications, Challenges, and Future Trends</t>
  </si>
  <si>
    <t xml:space="preserve">Yew, H.T.; Chang, F.S.; Png, K.N.; Chan, T.S.; Wong, C.W.; Lim, L.Y.P.; Tiew, V.H.J.</t>
  </si>
  <si>
    <t xml:space="preserve">Internet of Things</t>
  </si>
  <si>
    <t xml:space="preserve">10.1007/978-981-97-1432-2_1</t>
  </si>
  <si>
    <t xml:space="preserve">Internet of Things (IoT) has revolutionised our lives in many ways. Its current roles and applications in smart agriculture, smart homes, health care, environmental monitoring, industrial automation, transportation, and security/surveillance have positively enhanced the quality and comforts of our lives. Wireless communication plays a central role in ensuring the function of IoT. There are many challenges in developing the IoT. Inadequate key management, malicious attacks, unauthorised access, and device failure are security issues of concern. Power, especially off-grid power consumption, needs to be addressed. The high density of connected devices, limited bandwidth, and low data transmission can compromise the function of IoT. There is also the worry of a lack of trained workforce. Edge computing, Low-Power Wide Area Network (LPWAN), 5G networks, 6G networks, and mesh networks are advances that serve to enhance the capability of wireless communication. Future development of IoT in smart environment, health and wellness, agriculture sustainability, livestock management, and smart mobility in public transport are underway. © The Author(s), under exclusive license to Springer Nature Singapore Pte Ltd. 2024.</t>
  </si>
  <si>
    <t xml:space="preserve">R256</t>
  </si>
  <si>
    <t xml:space="preserve">Energy Efficiency of IoT Networks for Environmental Parameters of Bulgarian Cities</t>
  </si>
  <si>
    <t xml:space="preserve">Zlatev, Z.; Georgieva, T.; Todorov, A.; Stoykova, V.</t>
  </si>
  <si>
    <t xml:space="preserve">10.3390/computers11050081</t>
  </si>
  <si>
    <t xml:space="preserve">Building modern Internet of Things (IoT) systems is associated with a number of challenges. One of the most significant among them is the need for wireless technology, which will serve to build connectivity between the individual components of this technology. In the larger cities of Bulgaria, measures to ensure low levels of harmful emissions, reduce noise levels, and ensure comfort in urban environments have been taken. LoRa technology shows more advantages in transmission distance and low energy consumption compared to other technologies. That is why this technology was chosen for the design of wireless sensor networks (WSN) for six cities in Bulgaria. These networks have the potential to be used in IoT configurations. Appropriate modules and devices for building WSN for cities in Bulgaria have been selected. It has been found that the greater number of nodes in the WSN leads to an increase in the average power consumed in the network. On the other hand, depending on the location of these nodes, the energy consumed may decrease. The performance of wireless sensor networks can be optimized by applying appropriate routing protocols, which are proposed in the available literature. The methodology for energy efficiency analysis of WSN can be used in the design of wireless sensor networks to determine the parameters of the environment, with the possibility of application in IoT. © 2022 by the authors. Licensee MDPI, Basel, Switzerland.</t>
  </si>
  <si>
    <t xml:space="preserve">R257</t>
  </si>
  <si>
    <t xml:space="preserve">SAFEX: Analyzing Vulnerabilities of MoE-Based LLMs via Stable Safety-critical Expert Identification</t>
  </si>
  <si>
    <t xml:space="preserve">Lai, Z.; Liao, M.; Wu, B.; Xu, D.; Zhao, Z.; Yuan, Z.; Fan, C.; Li, J.</t>
  </si>
  <si>
    <t xml:space="preserve">Advances in Neural Information Processing Systems</t>
  </si>
  <si>
    <t xml:space="preserve">Large language models with Mixture-of-Experts (MoE) architectures achieve efficiency and scalability, yet their routing mechanisms introduce safety alignment challenges insufficiently addressed by techniques developed for dense models. In this work, the MoE-specific safety risk of positional vulnerability-that safety-aligned behaviors rely on specific expert modules-is formalized and systematically analyzed. An analytical framework, SAFEX, is presented to robustly identify, characterize, and validate safety-critical experts via a stability-based expert selection procedure, and to decompose them into two functional groups: the Harmful Content Detection Group (HCDG), which specializes in identifying and recognizing harmful content within user inputs, and the Harmful Response Control Group (HRCG), which specializes in controlling and enforcing model behaviors to generate appropriate safety responses. Expert-level interventions are conducted to probe causality and to test mitigation. Targeted masking of SAFEX-selected experts reveals that safety behavior is highly concentrated. On Qwen3-30B-A3B, configured with 48 MoE-FFN layers and 128 experts per layer under top-8 routing (48 × 128 = 6,144 experts in total), disabling 12 selected experts reduces the refusal rate by 22%. In addition, lightweight adaptation is performed using LoRA under three configurations-the HRCG, the union of HCDG and HRCG, and all experts-and the resulting updates are composed through negative weight merging targeted at the HRCG, leading to improved refusal under adversarial prompts without full-model retraining. These results establish positional vulnerability as a distinct MoE-specific safety challenge and provide a practical, compute-efficient pathway for expert-level safety interventions within routed architectures (https://github.com/Bearisbug/SAFEx). © 2025 Neural information processing systems foundation. All rights reserved.</t>
  </si>
  <si>
    <t xml:space="preserve">R258</t>
  </si>
  <si>
    <t xml:space="preserve">Hybrid BLE–LoRa architectures for energy-efficient and resilient wireless sensor networks: Experimental validation and adaptive clustering strategies</t>
  </si>
  <si>
    <t xml:space="preserve">Del-Valle-Soto, C.; Briseño, R.A.; Valdivia, L.J.; Varela-Aldás, J.; Visconti, P.</t>
  </si>
  <si>
    <t xml:space="preserve">Peer-to-Peer Networking and Applications</t>
  </si>
  <si>
    <t xml:space="preserve">10.1007/s12083-026-02251-5</t>
  </si>
  <si>
    <t xml:space="preserve">Wireless Sensor Networks are increasingly deployed in mission-critical scenarios where resilience and energy efficiency are paramount. This paper presents a hybrid architecture combining Bluetooth Low Energy (BLE) and Long Range (LoRa) technologies to enhance both robustness and energy-aware performance in adversarial environments characterized by reactive jamming attacks. A comprehensive experimental testbed was developed, integrating BLE and LoRa nodes, a dual-protocol gateway, and a reactive jammer emulator. We introduce an adaptive clustering algorithm that performs energy-aware role assignment and jamming mitigation based on signal anomaly detection and multi-metric routing. To validate its effectiveness, we conducted an extensive time-series analysis on energy consumption, retransmission rates, and signal resilience under both mitigated and non-mitigated conditions across BLE-only, LoRa-only, and hybrid BLE-LoRa networks. The results show protocol-dependent performance trade-offs under the proposed mitigation algorithm. While LoRa-only and hybrid BLE–LoRa networks exhibit consistent reductions in energy consumption, retransmissions, and variability, the BLE-only configuration demonstrates improved resilience at the cost of a moderate increase in energy usage and retransmission activity due to clustering and control overhead. Notably, the BLE-LoRa architecture balances delivery assurance and energy efficiency while maintaining communication even under interference. Furthermore, we provide statistical modeling and hypothesis testing confirming the mitigation algorithm’s significant impact. These findings offer a critical empirical contribution to the design of resilient and energy-aware heterogeneous WSNs and demonstrate the viability of real-time adaptive mitigation strategies for emerging smart environments. © The Author(s) 2026.</t>
  </si>
  <si>
    <t xml:space="preserve">R259</t>
  </si>
  <si>
    <t xml:space="preserve">CANalyze-AI: Semantic Zero-Day Detection and Rule Synthesis via LoRA-Fine-Tuned LLM for CAN Security</t>
  </si>
  <si>
    <t xml:space="preserve">Bilal, A.; Zhu, L.; Sharif, K.; Li, F.; Bukhari, S.</t>
  </si>
  <si>
    <t xml:space="preserve">10.1007/978-981-95-6209-1_19</t>
  </si>
  <si>
    <t xml:space="preserve">Modern Controller Area Network (CAN) buses lack native security, leaving vehicles exposed to spoofing, replay, and injection attacks, especially zero-day or unseen variants that evade traditional IDSs. We present CANalyze-AI, an edge-optimized hybrid IDS combining Random Forest and XGBoost with a 4-bit, LoRA-adapted GPT-2 to add semantic reasoning under strict resource budgets. Upon flagging anomalous 50-frame windows, the LLM produces concise, human-readable rationales and drafts Sigma rules that pass schema checks before use. On a composite CAN dataset, CANalyze-AI completes detection-plus-explanation in under 100 ms per window, fits within a ≤4 GB RAM envelope, and improves F1 by +0.9% over XGBoost and +2.2% over Random Forest. Under evasion, true-positive rate degrades by 7.1%, as compared to ≥12% for the baselines. Ablations show adaptive routing and LoRA adapters are key to performance and interpretability. We discuss practical guardrails against prompt-level attacks and limits arising from synthetic “zero-day” generation, and outline paths to real-fleet validation. © The Author(s), under exclusive license to Springer Nature Singapore Pte Ltd. 2026.</t>
  </si>
  <si>
    <t xml:space="preserve">R260</t>
  </si>
  <si>
    <t xml:space="preserve">10th International Conference on Ubiquitous Computing and Ambient Intelligence, UCAmI 2016</t>
  </si>
  <si>
    <t xml:space="preserve">The proceedings contain 59 papers. The special focus in this conference is on AAL, Sensors Networks, Smart Cities and Security. The topics include: Probability and common-sense; ensemble learning-based algorithms for aggressive and agitated behavior recognition; motorized multi-camera slider for precise monitoring of physical rehabilitation; ambient displays to assist caregivers monitoring the sleep of people with dementia; physiological data acquisition system based on mobile computing; recognition of activities in resource constrained environments; reducing the computational complexity; activity recognition using dynamic instance activation; fall detection through thermal vision sensing; impact of medical history on technology adoption in Utah population database; improving the quality of user generated data sets for activity recognition; personalizing physical effort estimation in workplaces using a wearable heart rate sensor; ZigBee home automation localization system; enhancing smart environments with mobile robots; reliable publish/subscribe in dynamic ubiquitous systems; scheduling real-time traffic in underwater acoustic wireless sensor networks; a network performance analysis of LoRa modulation for LPWAN sensor devices; fine-tuning the DARP wireless sensor routing protocol; lightweight multivariate sensing in WSNs; WSN related requirement analysis towards sustainable building automation operations and maintenance; leader-based routing in mobile wireless sensor networks; self-organizing connectivity for mobile agents in dynamical environments; benchmarking Bluetooth SPP communications for ubiquitous computing; a rapid deployment solution prototype for IoT devices; using beacons for creating comprehensive virtual profiles; robot-based video surveillance application and a comparative study between RTSP and WebRTC.</t>
  </si>
  <si>
    <t xml:space="preserve">R261</t>
  </si>
  <si>
    <t xml:space="preserve">Multimedia Transmission over LoRa Networks for IoT Applications: A Survey of Strategies, Deployments, and Open Challenges</t>
  </si>
  <si>
    <t xml:space="preserve">De, S.; Jalajamony, H.M.; Adhinarayanan, S.; Joshi, S.; Upadhyay, H.; Fernandez, R.</t>
  </si>
  <si>
    <t xml:space="preserve">10.3390/s25237128</t>
  </si>
  <si>
    <t xml:space="preserve">LoRa has emerged as a cornerstone of low-power, long-range IoT communication. While highly effective for scalar sensing, its extension to multimedia remains constrained by limited bitrate, payload size, and duty-cycle regulations. This survey reviews research on multimedia transmission over LoRa, revealing that most current efforts are image-centric, with only a few preliminary studies addressing video or audio. We propose a structured taxonomy encompassing compression and fragmentation methods, cooperative and multi-hop architectures, MAC and cross-layer optimizations, and hybrid network designs. These strategies are analyzed in the context of IoT domains such as agriculture, surveillance, and environmental monitoring. Open challenges are highlighted in extending beyond static images, ensuring energy-efficient delivery, and developing spectrum- and ML-aware protocols. The survey provides IoT researchers with both a consolidated reference and a roadmap toward practical and scalable multimedia systems over LoRa. © 2025 by the authors.</t>
  </si>
  <si>
    <t xml:space="preserve">R262</t>
  </si>
  <si>
    <t xml:space="preserve">Quick (and dirty) aggregate queries on low-power WANs</t>
  </si>
  <si>
    <t xml:space="preserve">Gadre, A.; Yi, F.; Rowe, A.; Iannucci, B.; Kumar, S.</t>
  </si>
  <si>
    <t xml:space="preserve">Proceedings - 2020 19th ACM/IEEE International Conference on Information Processing in Sensor Networks, IPSN 2020</t>
  </si>
  <si>
    <t xml:space="preserve">10.1109/ipsn48710.2020.00031</t>
  </si>
  <si>
    <t xml:space="preserve">Low-Power Wide-Area Networks (LP-WANs) are seeing wide-spread deployments connecting millions of sensors, each powered by a ten-year AA battery to radio infrastructure, often miles away. By design, iteratively querying all sensors in an LP-WAN may take several hours or even days, given the stringent battery limits of client radios. This precludes obtaining even an approximate real-time view of sensed information across LP-WAN devices over a large area, say in the event of a disaster, fault or simply for diagnostics.This paper presents QuAiL1, a system that provides a coarse aggregate view of sensed data across LP-WAN devices over a wide- area within a time span of just one LP-WAN packet. QuAiL achieves this by coordinating multiple LP-WAN radios to transmit their information synchronously in time and frequency despite their power constraints. We design each client's transmission so that the base station can retrieve an approximate heatmap of sensed data by exploiting the spatial correlation of this data across clients. We further show how our system can be optimized for statistical and machine learning queries, all while maintaining the security and privacy of sensed data from individual clients. Our deployment over a 3 sq. km. LP-WAN deployment around CMU campus in Pittsburgh demonstrates a 4x faster information retrieval versus the state-of- the-art statistical methods to retrieve the spatial sensor heatmap at a desired resolution. © 2020 IEEE.</t>
  </si>
  <si>
    <t xml:space="preserve">R263</t>
  </si>
  <si>
    <t xml:space="preserve">Optimizing Communication Technology Selection for Advanced Metering Infrastructure (AMI) Based on Regional Characteristics Using AHP</t>
  </si>
  <si>
    <t xml:space="preserve">Rendroyoko, I.; Hidayat, S.; Sasmono, S.; Rediansyah, D.; Mauladito, S.R.; Hariyanto, N.</t>
  </si>
  <si>
    <t xml:space="preserve">Proceedings of 2025 5th International Conference on High Voltage Engineering and Power Systems, ICHVEPS 2025</t>
  </si>
  <si>
    <t xml:space="preserve">10.1109/ichveps66913.2025.11351177</t>
  </si>
  <si>
    <t xml:space="preserve">The successful deployment of Advanced Metering Infrastructure (AMI) is highly dependent on the selection of the right communication technology, which should be tailored to the geographical and operational characteristics of the target area. This study presents a structured decision-making framework to optimize communication technology selection for AMI by applying the Analytic Hierarchy Process (AHP). The analysis incorporates both technical and non-technical evaluation criteria, including communication performance metrics (e.g., bandwidth, data rate, latency, coverage, and reliability) and cost-related aspects (e.g., installation, operational, and maintenance costs), in addition to data security considerations. The assessment focused on three different regional classifications - urban-commercial, rural, and industrial - each with unique infrastructure readiness and AMI functionality requirements. Expert judgment was used to assign relative weights to each criterion through pairwise comparisons using Expert Choice software. The resulting priority weights were applied to evaluate various communication technology alternatives, such as Wi-Fi, NB-IoT, LoRa, RF Mesh, PLC, and cellular technologies. The findings revealed that Wi-Fi is best suited for urban commercial areas, NB-IoT for rural areas, and cellular networks for industrial zones. These results provide strategic insights for service providers and policy makers to ensure efficient, reliable, and context-appropriate deployment of AMI communications across different geographical locations.  © 2025 IEEE.</t>
  </si>
  <si>
    <t xml:space="preserve">R264</t>
  </si>
  <si>
    <t xml:space="preserve">MACE: Modular Adaptive Code Engine with Context-Aware LoRA Expert Routing and Hierarchical Retrieval-Augmented Generation</t>
  </si>
  <si>
    <t xml:space="preserve">Dolhopolov, S.; Honcharenko, T.</t>
  </si>
  <si>
    <t xml:space="preserve">Recent advances in large language models (LLMs) for code generation have achieved impressive results on standard benchmarks, yet current systems lack mechanisms for dynamic adaptation to diverse programming tasks, languages, and project contexts. This paper presents MACE (Modular Adaptive Code Engine), a framework that addresses these limitations through three novel contributions: (1) a context-aware LoRA expert routing mechanism that dynamically selects and blends lightweight domain-specialized adapters based on semantic analysis of the input task; (2) a hierarchical three-level retrieval-augmented generation (RAG) system that provides global, project, and local code context with level-specific retrieval strategies; and (3) a multi-signal verification loop that iteratively refines generated code using execution feedback, static security analysis, and style checking. MACE is evaluated on an extended curated benchmark of 25 coding problems across three difficulty levels and additionally on a 50-problem subset of the standard HumanEval benchmark, comparing a base Qwen2.5-Coder-7B model against its low-rank adaptation (LoRA)-enhanced variant. The experimental results demonstrate that the LoRA expert achieves a 35% average speedup in code generation (up to 43% on hard problems) while simultaneously improving correctness from 84% to 96%, surpassing the base model by 12 percentage points. The Python-specialized expert was trained on a curated dataset of 12,450 examples over 3 epochs using a single consumer-grade GPU. The MACE framework is implemented as a Python package with CLI, REST API, and IDE integration interfaces, making it accessible to researchers, developers, and non-programmers alike. Copyright © 2026 for this paper by its authors.</t>
  </si>
  <si>
    <t xml:space="preserve">R265</t>
  </si>
  <si>
    <t xml:space="preserve">SynAdult: Multimodal Synthetic Adult Dataset Generation via Diffusion Models and Neuromorphic Event Simulation for Critical Biometric Applications</t>
  </si>
  <si>
    <t xml:space="preserve">Farooq, M.A.; Kielty, P.; Yao, W.; Corcoran, P.</t>
  </si>
  <si>
    <t xml:space="preserve">10.1109/access.2025.3594875</t>
  </si>
  <si>
    <t xml:space="preserve">We propose SynAdult, a multimodal synthetic data generation framework designed to address the scarcity of diverse and privacy-compliant senior adult face datasets for biometric applications and facial analysis. Our pipeline begins with the rendering of high-fidelity 2D adult facial images using parameter-efficient LoRA-based tuning of the state-of-the-art hyperrealism Stable Diffusion XL (SDXL) model, producing photorealistic outputs across diverse ethnicities and age-specific features. Next, we integrate a video retargeting pipeline to synthesize temporally consistent head pose and facial expression sequences, ensuring naturalistic dynamics crucial for downstream video-based facial analysis. In the third stage, we generate neuromorphic event data to introduce a privacy-preserving modality aligned with real-world edge deployment scenarios, such as ambient monitoring and in-vehicle sensing, where high temporal resolution and minimal identity leakage are beneficial. Finally, we reconstruct detailed 3D facial meshes from single 2D frames using 2D-to-3D morphing techniques to capture fine-grained structural details. This modality enhances geometric understanding and supports applications in AR/VR and affective computing. To validate the robustness and utility of the generated dataset, we perform a comprehensive evaluation using Kernel Inception Distance (KID), BRISQUE, CLIP score, and identity similarity metrics. We further assess downstream applicability employing the state-of-the-art facial expression classification networks and event facial landmarks tests for downstream machine learning tasks. As a key contribution, we open-source a large-scale, multimodality, multi-race adult dataset, enabling future research in secure and ethically grounded synthetic data for facial biometrics and facial analysis applications. The project website, along with the complete adult multimodality dataset and the fine-tuned model, is available at https://malifarooq.github.io/SynAdult/ © 2013 IEEE.</t>
  </si>
  <si>
    <t xml:space="preserve">R266</t>
  </si>
  <si>
    <t xml:space="preserve">Smart Home Automation in the IoT Era: A Comparative Study of Network Topologies and Communication Protocols</t>
  </si>
  <si>
    <t xml:space="preserve">Nasralla, M.M.</t>
  </si>
  <si>
    <t xml:space="preserve">Lecture Notes in Civil Engineering</t>
  </si>
  <si>
    <t xml:space="preserve">10.1007/978-981-97-8348-9_8</t>
  </si>
  <si>
    <t xml:space="preserve">The rise of smart home automation has revolutionized daily life through wireless sensor networks (WSNs), controlling aspects like lighting, climate, and security. This paper delves into the impact of WSN topologies and communication protocols on smart home automation, specifically highlighting the Mesh-based topology and Thread protocol. Mesh topology allows flexible communication, enabling self-organization and healing. The thread, designed for low-power IoT devices, ensures secure communication atop IEEE802.15.4. Comparing with other protocols like LoRa, Wi-Fi, Bluetooth, Zigbee, and Z-Wave, our study addresses the question: “How does Mesh with Thread compare for smart home automation?” Evaluation criteria include network coverage, reliability, energy efficiency, scalability, and cost. This research contributes insights into WSN strengths and weaknesses, aiding decision-making for smart home applications. Identified gaps and future directions offer valuable guidance for researchers and practitioners. © The Author(s), under exclusive license to Springer Nature Singapore Pte Ltd. 2025.</t>
  </si>
  <si>
    <t xml:space="preserve">R267</t>
  </si>
  <si>
    <t xml:space="preserve">A review of gateway placement algorithms on internet of things</t>
  </si>
  <si>
    <t xml:space="preserve">Mnguni, S.; Abu-Mahfouz, A.M.; Mudali, P.; Adigun, M.O.</t>
  </si>
  <si>
    <t xml:space="preserve">icABCD 2019 - 2nd International Conference on Advances in Big Data, Computing and Data Communication Systems</t>
  </si>
  <si>
    <t xml:space="preserve">10.1109/icabcd.2019.8851043</t>
  </si>
  <si>
    <t xml:space="preserve">Internet of Things (IoT) is expected to grow exponentially such that devices connected to the internet reach 125 billion during the year 2030. For data transmission to the internet IoT end node devices rely on Gateways and to ensure coverage for IoT devices Gateways need to be optimally placed. However, physical infrastructure and topography as features of the target area are essential for IoT gateways optimal placement. Recently, Wireless Mesh Networks (WMN) has gained an important role in current communication technologies. It has been used in several applications such as surveillance and rescue systems. Network congestion can be minimized and throughput can be improved by placing many gateways but on the other hand cost, deployment and interference will increase. Therefore, this paper performs a review of existing Gateway Placement Algorithms and brings together the state-of-the-art in WMN and Low Power Wide Area Network (LPWAN), distinguishing each of their strengths and weaknesses that requires improvements. The main objective of this paper is to gain insight into the advantages and disadvantages of existing Gateway Placement approaches. A secondary objective is to highlight the various performance metrics being considered in the Gateway Placement literature and to analyze the trade-offs made. The conducted review shows that different algorithms have different capabilities and drawbacks such as congestion, coverage, interference etc. Various issues related to gateway placement and approaches were presented and the number of gateways needed for certain. © 2019 IEEE.</t>
  </si>
  <si>
    <t xml:space="preserve">R268</t>
  </si>
  <si>
    <t xml:space="preserve">Low-energy network protocols</t>
  </si>
  <si>
    <t xml:space="preserve">Kathiriya, H.; Bavarva, A.; Sorathiya, V.</t>
  </si>
  <si>
    <t xml:space="preserve">Recent Trends and Best Practices in Industry 4.0</t>
  </si>
  <si>
    <t xml:space="preserve">IoT and Industry 4.0 are the integration of sensors, processors, and power supply units, which can be implemented using numerous networking technologies, for instance, wireless sensor networks (WSNs) as well as low-power wide area networks (LPWAN), and low-power wireless personal area network (LoWPAN) that contains sensors and actuators. Wireless sensor nodes gather scalar information like temperature, speed, location, and humidity from predefined areas and forward to the sink using single hope or multiple hopes. A sink, coordinator, or gateway is the intermediate device that connects IP-less networks with IP-enabled networks. Predefined areas can be monitored and controlled from a remote place. The communication between predefined areas and the real physical world provides several applications which can be used for IoT and Industry 4.0. This chapter contains a variety of technologies, algorithms, and innovative concepts used to design low-power, energy-efficient Industry 4.0 protocols. ZigBee, thread, Z-Wave, and EnOcean are popular low-energy protocols used to implement low-energy wireless personal area network technologies. Various technologies like LoRa/LoRaWAN, Sigfox, NB-IoT, etc., are used for LPWAN. IP-based lightweight protocols include 6LoWPAN, 6Lo, 6 TiSCH, RPL, and CoAP. Routers and aggregators that use energy-efficient routing and data aggregation use techniques such as scheduling, listening after sending data, channel sampling, etc. Protocols used for energy harvesting are also in demand to design self-powered sustainable WSN with the help of energy-neutral operation (ENO). Some protocols are designed along with low-energy consumption, providing solutions for encoding, encryption, security, and management. This chapter also analyzes various low-energy network protocols used in various technologies to implement IoT and Industry 4.0. © 2023 River Publishers. All rights reserved.</t>
  </si>
  <si>
    <t xml:space="preserve">R269</t>
  </si>
  <si>
    <t xml:space="preserve">Service Oriented Architecture for Interconnecting LoRa Devices with the Cloud</t>
  </si>
  <si>
    <t xml:space="preserve">Tsakos, K.; Petrakis, E.G.M.</t>
  </si>
  <si>
    <t xml:space="preserve">Advances in Intelligent Systems and Computing</t>
  </si>
  <si>
    <t xml:space="preserve">10.1007/978-3-030-15032-7_91</t>
  </si>
  <si>
    <t xml:space="preserve">The contribution of this work is two-fold: First, we show how Low Power Wide Area Networks (LPWANs) can be interconnected with the cloud; second, leveraging on PaaS functionality, we develop LoRaWare, a Service Oriented Architecture (SOA) and system that allows developers to enhance the capabilities of LoRa enabled applications using advanced cloud services such as, selective publication and subscription to data, IoT connectivity using MQTT protocol, persistent storage etc. We experimented with LoRa and LoRaWAN, the latest successful representative of LPWAN protocols. We applied a typical experimental setup with LoRa environmental sensors transmitting measurements over long distances to gateways. LoRa gateways receive LoRa packets from sensors in range and re-transmit them to the cloud using an IP protocol (typically UDP). In this work, we opt for MQTT, a more elaborate lightweight publish-subscribe IP protocol offering advanced security, better routing control and visibility of the communication (i.e. easier handling and control of data packets). To support connection of LoRa IoT networks with the cloud, we developed the Network Server, a cloud service that encompasses the necessary functionality for porting LoRa packets to applications (i.w. encrypts/decrypts, de-duplicates, authenticates LoRa packets and converts LoRa payloads to JSON). We developed our solution in Fiware, the cloud infrastructure of the European Union. The reason for our selection is that, currently, Fiware supports interconnection with LoRa only via the network of another provider (i.e. The Things Network). The Network Server is the only solution for connecting LoRa networks directly to Fiware. We run an exhaustive set of experiments in order to study system response time and scalability as well as, the practical range efficiency of LoRaWAN protocol. © 2020, Springer Nature Switzerland AG.</t>
  </si>
  <si>
    <t xml:space="preserve">R270</t>
  </si>
  <si>
    <t xml:space="preserve">Mixture of Low-Rank Adapter Experts in Generalizable Audio Deepfake Detection</t>
  </si>
  <si>
    <t xml:space="preserve">Laakkonen, J.; Kukanov, I.; Hautamaki, V.</t>
  </si>
  <si>
    <t xml:space="preserve">2025 Asia Pacific Signal and Information Processing Association Annual Summit and Conference, APSIPA ASC 2025</t>
  </si>
  <si>
    <t xml:space="preserve">10.1109/apsipaasc65261.2025.11249190</t>
  </si>
  <si>
    <t xml:space="preserve">Foundation models such as Wav2Vec2 excel at representation learning in speech tasks, including audio deepfake detection. However, after being fine-tuned on a fixed set of bonafide and spoofed audio clips, they often fail to generalize to novel deepfake methods not represented in training. To address this, we propose a mixture-of-LoRA-experts approach that integrates multiple low-rank adapters (LoRA) into the model's attention layers. A routing mechanism selectively activates specialized experts, enhancing adaptability to evolving deepfake attacks. Experimental results show that our method outperforms standard fine-tuning in both in-domain and out-of-domain scenarios, reducing equal error rates relative to baseline models. Notably, our best MoE-LoRA model lowers the average out-of-domain EER from 8.55% to 6.08%, demonstrating its effectiveness in achieving generalizable audio deepfake detection.  © 2025 IEEE.</t>
  </si>
  <si>
    <t xml:space="preserve">R271</t>
  </si>
  <si>
    <t xml:space="preserve">Multimodal Framework for Detecting Malicious QR Codes in Social Engineering Attacks</t>
  </si>
  <si>
    <t xml:space="preserve">Krishna, K.H.; Kumar, P.R.; Herah, V.; Reddy, K.J.S.; Reddy, P.V.V.; Kondapavulur, N.B.</t>
  </si>
  <si>
    <t xml:space="preserve">Proceedings of the 6th International Conference on Pervasive Computing and Social Networking, ICPCSN 2026</t>
  </si>
  <si>
    <t xml:space="preserve">10.1109/icpcsn68523.2026.11543532</t>
  </si>
  <si>
    <t xml:space="preserve">Social engineering remains one of the most operationally consequential attack categories in cybersecurity, exploiting human behaviour rather than software vulnerabilities to achieve initial access. Quick Response (QR) codes have emerged as a delivery mechanism for such attacks a technique termed "quishing"because the encoded payload is visually opaque and therefore bypasses the perceptual inspection that users apply to hyperlinks. Quishing campaigns have been documented across financial-sector intrusions, enterprise credential-harvesting operations, and public-infrastructure attacks in which malicious codes are physically substituted for legitimate ones on payment terminals and official signage. Existing defences address this threat class along a single analysis axis. Image-based classifiers identify structural tampering in the QR matrix but cannot evaluate the content of structurally conformant codes. URL-reputation systems assess the decoded payload but collapse against freshly registered domains and redirect chains routing through intermediate clean-reputation hops. Neither architecture closes both attack surfaces simultaneously. We propose the Hybrid LLM-Vision (HLLM-V) Pipeline, a dual-channel detection framework that treats structural and semantic evidence as independent, concurrently processed streams. An attention-augmented EfficientNet-B3 evaluates image-level structural integrity; a LoRA-fine-tuned LLaMA 2-7B language model performs semantic threat analysis over the decoded payload enriched with WHOIS registration age and a reconstructed redirect-chain transcript. A trainable score-level fusion layer, supplemented by a feature-level MLP branch, integrates both streams into a calibrated threat probability. On 4,200 annotated QR images the system yields 98.4% accuracy and 94.2% accuracy under FGSM adversarial perturbation, exceeding the vision-only baseline by 11.8 percentage points. © 2026 IEEE.</t>
  </si>
  <si>
    <t xml:space="preserve">R272</t>
  </si>
  <si>
    <t xml:space="preserve">ICCCN 2022 - 31st International Conference on Computer Communications and Networks</t>
  </si>
  <si>
    <t xml:space="preserve">The proceedings contain 76 papers. The topics discussed include: localizing campus shuttles from one single base station using LoRa link characteristics; ORSM: online routing and scheduling mechanism for mix-flows in data center networks; design and implementation of a strong representation system for network policies; peer-to-peer communication trade-offs for smart grid applications; a distributed lightweight framework to secure IoT networks against network layer attacks; efficient indoor localization with multiple consecutive geomagnetic sequences; automatic field extraction of extended TLV for binary protocol reverse engineering; a federated learning framework for automated decision making with microscopic traffic simulation; and graph representation of computer network resources for precise allocations.</t>
  </si>
  <si>
    <t xml:space="preserve">R273</t>
  </si>
  <si>
    <t xml:space="preserve">De-Fence: LoRa based Hop-to-Hop Communication</t>
  </si>
  <si>
    <t xml:space="preserve">Chaudhary, A.; Talwar, M.; Goel, A.; Singal, G.; Kushwaha, R.</t>
  </si>
  <si>
    <t xml:space="preserve">10.1145/3549206.3549312</t>
  </si>
  <si>
    <t xml:space="preserve">The need for a low-power reliable form of communication is ever-present in a multitude of fields. Our paper aims to develop and explore a security-oriented application of LoRa-based hop-to-hop communication, which provides low-power, large-scale, and long-range solutions to our current safety needs. It utilizes all the components of an IoT-based implementation, in to develop a network, which consists of different types of nodes. It takes input from the external environment through sensors, transports it via several intermediate nodes, using an effective routing algorithm, and provides output through the means of an actuator. The system achieved henceforth is highly scalable, reliable, portable, cheap, and easy to maintain, and provides a fresh outlook on the contemporary need of modernizing the security infrastructure using a growing non-cellular form of communication, LoRa technology.  © 2022 ACM.</t>
  </si>
  <si>
    <t xml:space="preserve">R274</t>
  </si>
  <si>
    <t xml:space="preserve">Building an information-centric and LoRa-based sensing platform for IoT</t>
  </si>
  <si>
    <t xml:space="preserve">Dowling, A.; Liu, Y.; Huie, L.; Chen, K.</t>
  </si>
  <si>
    <t xml:space="preserve">IEEE INFOCOM 2021 - IEEE Conference on Computer Communications Workshops, INFOCOM WKSHPS 2021</t>
  </si>
  <si>
    <t xml:space="preserve">10.1109/infocomwkshps51825.2021.9484615</t>
  </si>
  <si>
    <t xml:space="preserve">LoRaWAN is a long-range, low-power wireless transmission medium, typically used in Internet of Things(IoT) deployments for long range transmission of sensor data and commands for actuator devices. Named Data Networking (NDN) is an emerging information-centric networking architecture with a design suited for handling communication in wireless environments. This work leverages both technologies to create an ad hoc wireless network by creating an application that is able to send and receive NDN packets between LoRaWAN devices without using any IP address. Experimental results gathered in a real environment show that this newly created ad hoc network is capable of transmitting data over distances of at least one kilometer per hop, using NDN features for handling routing and security of data packets. This ad hoc network is suitable for fetching IoT sensor data, sending commands to IoT devices, and for sending small messages between distant nodes in a low-resource, wireless IoT environment with minimal network infrastructure. Furthermore, this system has been used and evaluated while developing an NDN-based IoT sensing platform with built-in security features, such as data signature verification and certificate deployment. © 2021 IEEE.</t>
  </si>
  <si>
    <t xml:space="preserve">R275</t>
  </si>
  <si>
    <t xml:space="preserve">Low-cost and secure communication system for SCADA system of remote microgrids</t>
  </si>
  <si>
    <t xml:space="preserve">Iqbal, A.; Iqbal, M.T.</t>
  </si>
  <si>
    <t xml:space="preserve">Journal of Electrical and Computer Engineering</t>
  </si>
  <si>
    <t xml:space="preserve">10.1155/2019/1986325</t>
  </si>
  <si>
    <t xml:space="preserve">Renewable energy-based local microgrids are gaining popularity despite the unavailability of low-cost, power efficient, and secure communication system for its supervisory control and data acquisition (SCADA) system. This research has been carried out to address this issue along with the additional features such as data uploading to a server through a gateway, local data logging, and alerting the concerned crew in case of any fault to minimize the outage time. This paper presents the design of a communication system for the SCADA system of microgrid. ESP32 with LoRa has been used for communication between two nodes or a node and central SCADA unit. Communication security has been achieved by implementing AES cryptography. Data authenticity has been achieved by introducing a unique message authentication code (MAC) for each message. A mesh-like network has been implemented to improve the LoRa range. ESP32 and dragino-uno based LoRa gateways have been tried for uploading the data to the server, and local data storage has been achieved using an SD card. The main controller working as the SCADA unit has the feature of sending emails. Detailed system design and test results are presented in this paper. © 2019 Amjad Iqbal and M. Tariq Iqbal.</t>
  </si>
  <si>
    <t xml:space="preserve">R276</t>
  </si>
  <si>
    <t xml:space="preserve">Advanced System for Remote Updates on ESP32-Based Devices Using Over-the-Air Update Technology</t>
  </si>
  <si>
    <t xml:space="preserve">Formanek, L.; Kubascik, M.; Karpis, O.; Kolok, P.</t>
  </si>
  <si>
    <t xml:space="preserve">10.3390/computers14120531</t>
  </si>
  <si>
    <t xml:space="preserve">Over-the-air (OTA) firmware updating has become a fundamental requirement in modern Internet of Things (IoT) deployments, where thousands of heterogeneous embedded devices operate in remote and distributed environments. Manual firmware maintenance in such systems is impractical, costly, and prone to security risks, making automated update mechanisms essential for long-term reliability and lifecycle management. This paper presents a unified OTA update architecture for ESP32-based IoT devices that integrates centralized version control and multi-protocol communication support (Wi-Fi, BLE, Zigbee, LoRa, and GSM), enabling consistent firmware distribution across heterogeneous networks. The system incorporates version-compatibility checks, rollback capability, and a server-driven release routing mechanism for development and production branches. An analytical model of timing, reliability, and energy consumption is provided, and experimental validation on a fleet of ESP32 devices demonstrates reduced update latency compared to native vendor OTA solutions, together with reliable operation under simultaneous device loads. Overall, the proposed solution provides a scalable and resilient foundation for secure OTA lifecycle management in smart-industry, remote sensing, and autonomous infrastructure applications. © 2025 by the authors.</t>
  </si>
  <si>
    <t xml:space="preserve">R277</t>
  </si>
  <si>
    <t xml:space="preserve">S2, S3b</t>
  </si>
  <si>
    <t xml:space="preserve">International Conference on Embedded Wireless Systems and Networks, EWSN 2023</t>
  </si>
  <si>
    <t xml:space="preserve">The proceedings contain 55 papers. The special focus in this conference is on Embedded Wireless Systems and Networks. The topics include: X-Lab: A Federated Testbed Infrastructure to Benchmark Geographically-Distributed Low-Power Wireless Systems; IPv6 over Bluetooth Advertisements: An alternative approach to IP over BLE; feasibility of Communication Between Sensor Nodes On-board Spacecraft Using Multi Layer Insulation; BISON: Attacking Bluetooth’s Broadcast Isochronous Streams; hardening and Speeding Up Zero-interaction Pairing and Authentication; AIRISC-A mmWave Angle-Insensitive Reconfigurable Intelligent Surface Communication System; A Game-Theoretic Approach for Mitigating Jamming Attacks in LPWAN; supporting the Adaptive Deployment of Modular Applications in Cloud-Edge-Mobile Systems; QualityBLE: A QoS Aware Implementation for BLE Mesh Networks; black carbon proxy sensor model for air quality IoT monitoring networks; InSight: Enabling NLOS Classification, Error Correction, anAnchor Selection on Resource-Constrained UWB Devices; Recovering Headerless Frames in LR-FHSS; demos: Robust Orchestration for Autonomous Networking; revisiting Cellular Throughput Prediction over the Edge: Collaborative Multi-device, Multi-network in-situ Learning; Demo: Video over Synchronous Flooding with OSFv6; demo: Sensor Node Communication Through Conductive Mesh Placed on Cotton Knit Fabric; demo: Audio Streaming Via Body-Coupled Communication; Demo: Hijacking Bluetooth’s Broadcast Audio Streams using BISON; OSA evaluation by using clinical parameters monitoring system based on Radar Technology; Poster: Towards a Flexbile Network API for Fat In-body Communication; poster: Resource-Efficient Deep Subnetworks for Dynamic Resource Constraints on IoT Devices; poster: A Battery-free Backscatter Communication System for Non-persistent Carriers; poster Abstract: Anchor Placement Optimization for Area-Based Localization Using Tabu Search Algorithm; poster: IoT-Edge-Cloud Continuum data flow validation tool.</t>
  </si>
  <si>
    <t xml:space="preserve">R278</t>
  </si>
  <si>
    <t xml:space="preserve">Real-time e-health framework for efficient AI-driven disability monitoring using secured Internet of Medical Things</t>
  </si>
  <si>
    <t xml:space="preserve">Naif Alwakid, G.; Humayun, M.; Haseeb, K.; Shafique, A.</t>
  </si>
  <si>
    <t xml:space="preserve">Computing</t>
  </si>
  <si>
    <t xml:space="preserve">10.1007/s00607-025-01519-7</t>
  </si>
  <si>
    <t xml:space="preserve">The integration of Internet of Medical Things (IoMT) technology is revolutionizing patient monitoring by enabling real-time and remote assessment. It utilized various health sensors and wireless technologies to communicate with patients and transmit health records to cloud systems for analysis and disease identification. This study proposes an AI-driven framework for disability detection using secured IoMT, leveraging motion analysis, efficient data routing, and secure cloud storage. The framework captures motion data through simulated IoT-enabled wearable devices, represented by open-source datasets such as publicly available PAMAP2 and MHEALTH. To identify movement patterns connected to disability and train the model, the motion data is first preprocessed using noise reduction and normalization techniques. The proposed framework utilizes a Support Vector Machine to classify the patterns due to its lightweight features, ultimately providing a rapid, real-time analysis in crucial health circumstances. It processes the extracted features and predicts whether a movement pattern indicates normal or disability related human behavior. Moreover, health records are transmitted from IoMT devices to the cloud using network optimization by exploring LPWAN/LoRaWAN protocols, ensuring energy-efficient, low-latency communication. By combining intelligent learning with optimized network protocols and secure cloud integration, the proposed framework gives a practical approach to the healthcare domain to access timely insights into patient health. The proposed framework is simulated in NS3 for performance evaluation and provides significant outcomes as compared to existing approaches in terms of energy consumption by an average of 47%, attack detection rate by an average of 35%, packet drop ratio by an average of 48% and false positive rate by an average of 42%. © Crown 2025.</t>
  </si>
  <si>
    <t xml:space="preserve">R279</t>
  </si>
  <si>
    <t xml:space="preserve">Design and Feasibility Analysis of a LoRa Based Communication System for Disaster Management</t>
  </si>
  <si>
    <t xml:space="preserve">Syed, D.S.; Hossain, S.B.; Islam, A.; Jim, T.-A.-I.; Zishan, Md.S.R.</t>
  </si>
  <si>
    <t xml:space="preserve">AIUB Journal of Science and Engineering</t>
  </si>
  <si>
    <t xml:space="preserve">10.53799/ajse.v23i2.1055</t>
  </si>
  <si>
    <t xml:space="preserve">— In the context of earthquake and flood disasters, effective communication remains a pivotal concern due to the vulnerability of conventional networks. In this paper a system has been designed and investigated to deploy LoRa based mesh networks in disaster-stricken areas using amphibious rovers. The system was tested in urban environments as well as in simulations using the Meshtasticator simulator and Okumura-Hata path loss model. Critical parameters such as communication range, SNR (Signal to noise ratio), RSSI (Received Signal Strength Indicator) rate, data transmission speed, bandwidth, frequency, and delay have been evaluated. The measured outcomes of this study were compared with other existing technologies proposed for disaster communication and management, indicate that fast deployment of Meshtastic LoRa is more reliable for operating at lower frequencies and hence for long-distance communication compared to other existing disaster communication technologies. The results of this study indicate the proposed system can operate at about 2-6 times the range with acceptable performance parameters and superior uptime. These findings not only enrich the discourse on disaster management strategies but also offer insights into crafting adaptive, feasible and resilient communication systems. © 2024 AIUB Office of Research and Publication. All rights reserved.</t>
  </si>
  <si>
    <t xml:space="preserve">R280</t>
  </si>
  <si>
    <t xml:space="preserve">WanderWatch: LoRaWAN-Based Monitoring System for Wandering Risk Patients</t>
  </si>
  <si>
    <t xml:space="preserve">Ahmed, A.A.; Bhadani, V.</t>
  </si>
  <si>
    <t xml:space="preserve">2025 International Conference on Computing, Networking and Communications, ICNC 2025</t>
  </si>
  <si>
    <t xml:space="preserve">10.1109/icnc64010.2025.10993702</t>
  </si>
  <si>
    <t xml:space="preserve">Caregivers and families of wandering risk patients (e.g., Alzheimer's and dementia) face the critical issue of tracking those individuals' movements to ensure their safety. Several monitoring tools are available today, including GPS trackers, RFID systems, Bluetooth-based trackers, smartwatches, home security systems with cameras and sensors, and community alert programs. However, these systems often rely on cellular networks, which can be unreliable or nonexistent in remote locations, making them unsuitable for tracking over large distances or outdoor areas. One way to address this challenge is to use Longrange Wide Area Networks (LoRaWAN) networks that do not require internet connectivity while operating independently. This paper presents WanderWatch, a LoRaWAN-based monitoring system for wandering risk patients. WanderWatch is a robust monitoring and geofencing solution that leverages advanced LoRaWAN technology, which provides reliable and long-distance communication even in areas with poor cellular coverage, ensuring continuous monitoring of patients. It combines wearable IoT devices with an advanced geofencing system to track patients in real-time and alert caregivers if they wander outside designated safe zones. Our system utilized LoRa hardware supported by an optimized Echo protocol in a zero-control mesh network to efficiently detect boundary breaches of the monitored subjects, such as patients with Alzheimer's disease, robots mounted with IoT devices and sensors, etc. WanderWatch is evaluated with a real-world testbed using various performance metrics. © 2025 IEEE.</t>
  </si>
  <si>
    <t xml:space="preserve">R281</t>
  </si>
  <si>
    <t xml:space="preserve">Improving Ambulance Routing by Integrating Advanced Dedicated Short Range Communications Technology</t>
  </si>
  <si>
    <t xml:space="preserve">Samuvel Raj, S.; Jeena, R.</t>
  </si>
  <si>
    <t xml:space="preserve">Proceedings of 2025 10th International Conference on Science Technology, Engineering and Mathematics, ICONSTEM 2025</t>
  </si>
  <si>
    <t xml:space="preserve">10.1109/iconstem65670.2025.11374609</t>
  </si>
  <si>
    <t xml:space="preserve">The sharp rise in urban traffic congestion has substantially delayed emergency medical response, often resulting in adverse patient outcomes and higher mortality rates. Recent studies underscore the need for intelligent ambulance routing systems capable of automatically prioritizing emergency vehicles through smart traffic management platforms. This paper proposes an integrated solution utilizing LoRa/DSRC-based communication for green corridor formation, Internet-of-Things (IoT)-driven traffic signal pre-emption, and real-time ambulance tracking, referencing established work by Schooler et al., Sutar et al., and others. The proposed architecture fuses GPS-enabled vehicle tracking, predictive analytics for route optimization, and AI-based dashboards for hospital coordination, while comparing the strengths of wireless protocols (LoRa, DSRC, ZigBee) in terms of latency, reliability, and deployment flexibility. Pilot deployments indicate that these systems can reduce ambulance travel time by up to 40%, with improved golden-hour survival rates and lower incident congestion. Experimental results validate the interoperability, security, and cost-effectiveness of such solutions across smart city infrastructures. Future work is motivated by the need for scalable AI frameworks, seamless integration with hospital EMR systems, and universal standardization of V2X protocols for emergency response networks, advancing beyond current state-of-the-art implementations. © 2025 IEEE.</t>
  </si>
  <si>
    <t xml:space="preserve">R282</t>
  </si>
  <si>
    <t xml:space="preserve">Empirical Evaluation of a LoRa Mesh Network for Emergency Communication Systems</t>
  </si>
  <si>
    <t xml:space="preserve">Poke, B.; Uludag, S.</t>
  </si>
  <si>
    <t xml:space="preserve">2023 IEEE 14th Annual Ubiquitous Computing, Electronics and Mobile Communication Conference, UEMCON 2023</t>
  </si>
  <si>
    <t xml:space="preserve">10.1109/uemcon59035.2023.10316084</t>
  </si>
  <si>
    <t xml:space="preserve">Natural and man-made disasters are becoming more prevalent and increasing in danger as climate change continues unabated and resources get scarce. Whether it be flood or terrorism, disasters displace people and it remains difficult to reach those in need when the disaster does strike. For years, mobile phone networks have been integral in responding to emergencies, but they rely on costly infrastructure that is prone to outages or outright attack. We propose a long-range, low-power mesh network infrastructure based on a new networking protocol and embedded software implementation called the ClusterDuck Protocol, that seeks to fill the need of disaster communications telemetry gathering for a fraction of the cost of mobile phone networking infrastructure such as 4G LTE or 5G. While the protocol is simple, it was found to have an inadequate implementation at this stage. Error rates were high and bugs were found in implementation that led to an abnormal amount of time spent processing corrupted data, though power consumption was encouraging in spite of these conditions. We examine the strengths and weaknesses of this new protocol and suggest improvements and transmission strategies to be more successful. © 2023 IEEE.</t>
  </si>
  <si>
    <t xml:space="preserve">R283</t>
  </si>
  <si>
    <t xml:space="preserve">Authentication by RSSI-Position based localization in a LoRa LPWAN</t>
  </si>
  <si>
    <t xml:space="preserve">Kaven, S.; Bornholdt, L.; Skwarek, V.</t>
  </si>
  <si>
    <t xml:space="preserve">Colloquium in Information Science and Technology, CIST</t>
  </si>
  <si>
    <t xml:space="preserve">10.1109/cist49399.2021.9357283</t>
  </si>
  <si>
    <t xml:space="preserve">Location as part of the node's identity can make an essential contribution to the prevention of Sybil- and man-in-the-middle-attacks to verify the authenticity of nodes. This requires point-to-point communication between several end-devices which is not possible in LoRaWAN due to the stars-of-stars topology. This research paper provides an approach to overcome this problem by introducing an additional LoRa-mesh phase for LoRaWAN. This makes it possible to confirm the position of a LoRa end-device by RSSI-based localization.  © 2021 IEEE.</t>
  </si>
  <si>
    <t xml:space="preserve">R284</t>
  </si>
  <si>
    <t xml:space="preserve">IoT-based Smart Helmet for Firefighters with Machine Learning-based Human, Fire and Smoke Detection</t>
  </si>
  <si>
    <t xml:space="preserve">Sri Silpa, P.; Anusha, S.L.; Haritha, K.; Harshita, M.; Sai, S.M.</t>
  </si>
  <si>
    <t xml:space="preserve">Proceedings of 9th International Conference on Computing Methodologies and Communication, ICCMC 2026</t>
  </si>
  <si>
    <t xml:space="preserve">10.1109/iccmc69250.2026.11624823</t>
  </si>
  <si>
    <t xml:space="preserve">The fire accident scenarios result in a challenging working environment for the firefighters due to dense smoke clouds, extreme temperatures above 600°C, and presence of lethal gases. Hence, it becomes challenging for the firefighters to detect the persons trapped inside the building. Traditionally designed firefighting gear mainly concentrates on providing physical safety but lacks the capability to provide real-time intelligent monitoring. This paper presents an experimental study on the design, development, and analysis of an IoT-based smart helmet equipped with human detection using the YOLOv8 machine learning algorithm, multi-sensor environmental monitoring, dual-buzzer alert system, live video streaming, and GPS location tracking capability. The proposed solution utilizes the Arduino UNO microcontroller as a central processing unit integrated with temperature and humidity sensor (DHT11), gas sensors (MQ-2), IR sensors, light intensity sensors, GPS sensor (NEO-6M), and ESP32-CAM camera to capture images and stream live videos. The proposed YOLOv8 model detects humans within the fire environment with 95.2% accuracy with precision rate of 94.8% and recall rate of 95.6%. The MQ-2 gas sensor detects any kind of lethal gas with less than 3 seconds delay. Implementation of the prototype proved to be technically feasible and user-friendly. Potential areas for further development will focus on incorporating thermal imaging technology, utilizing LoRa mesh networks, and conducting trials with functional fire brigades.  © 2026 IEEE.</t>
  </si>
  <si>
    <t xml:space="preserve">R285</t>
  </si>
  <si>
    <t xml:space="preserve">Design of LoRa-based multi-parameters river water quality monitoring system</t>
  </si>
  <si>
    <t xml:space="preserve">Sun, S.; Cui, Y.; He, D.; Wang, X.</t>
  </si>
  <si>
    <t xml:space="preserve">2024 9th International Symposium on Computer and Information Processing Technology, ISCIPT 2024</t>
  </si>
  <si>
    <t xml:space="preserve">10.1109/iscipt61983.2024.10673138</t>
  </si>
  <si>
    <t xml:space="preserve">The traditional fixed water quality detection system faces the problems of low coverage and the inability to obtain the full picture of water quality in the whole watershed in real time. In this paper, we designed a detection system based on LoRa and 4G communication technology, which consists of a collection terminal and a gateway. The collection terminal took an STM32 microcontroller, integrated a power management circuit, PH detection circuit, turbidity detection circuit, water temperature detection circuit, and TDS detection module to design the water quality monitoring node, and utilized LoRa networking technology to realize the uploading of monitoring data to the gateway. The gateway completed the data upload management of collection terminals, summarized the data from multiple collection terminals, added fixed headers to construct transmission messages, and transmitted the data to the server through 4G wireless technology. To meet the requirements of high coverage deployment of collection terminals, we analyzed and selected a mesh and star hybrid network topology, designed LoRa networking protocols, realized automatic management of the network topology, and at the same time, put forward network auto-configuration and channel quality verification for the link disconnection caused by various obstacles in the process of LoRa communication. Through the test, the system's packet loss rate was found to be less than 5%, the average data transmission time was 3.9 s, and the error rate for each acquisition parameter was less than 10%, which met the experimental design requirements. © 2024 IEEE.</t>
  </si>
  <si>
    <t xml:space="preserve">R286</t>
  </si>
  <si>
    <t xml:space="preserve">Edge-Intelligent Autonomous Buoy System for Decentralized Maritime Border Security</t>
  </si>
  <si>
    <t xml:space="preserve">Jenath, M.; Samanta, S.; Anand, U.; Satwik, V.</t>
  </si>
  <si>
    <t xml:space="preserve">Proceedings of the 3rd International Conference on Innovations in Cybersecurity and Data Science, ICICDS 2026</t>
  </si>
  <si>
    <t xml:space="preserve">10.1109/icicds70526.2026.11604835</t>
  </si>
  <si>
    <t xml:space="preserve">Monitoring maritime boundaries and Exclusive Economic Zones (EEZs) is critically hindered by the vast scale of ocean environments, the prohibitive costs of satellite-based surveillance (()10,000-()50,000/ month), and the high false-alarm rates of GPS-only geofencing systems. This paper presents the design, implementation, and evaluation of an edge-intelligent, autonomous buoy network for decentralized maritime border security. Each solar-powered buoy node integrates a GPS module, a six-axis IMU (MPU6050), and a waterproof ultrasonic sensor, communicating via an infrastructure-independent LoRa mesh network at 4 3 3 ~ M H z. The core theoretical contribution, the Inverse Wave Buoy Analogy, exploits stationary buoy IMU data to detect anomalous hydrodynamic disturbances caused by approaching vessels inverting the conventional ship-mounted wave estimation paradigm. A two-stage XGBoost ensemble processes sensor data: WakeNet performs four-class wake disturbance classification, and FusionNet delivers binary boundary-violation detection. ExplainNet applies SHAP-based explainability to generate real-time, sensor-level alert narratives. Evaluated on a 1 0, 0 0 0-sample structured dataset with realistic noise, WakeNet achieves 96.65% accuracy (CV: 98.40 % pm 0.73 %) and FusionNet achieves 95.55% accuracy (CV: 99.60 % pm 0.49 %, ROC-AUC: 1.0), with a false-negative rate of only 0.62%. Results stream at near-zero latency to a live GIS dashboard via WebSocket. © 2026 IEEE.</t>
  </si>
  <si>
    <t xml:space="preserve">R287</t>
  </si>
  <si>
    <t xml:space="preserve">A Prototype on the Feasibility of Learning Spatial Provenance in XBee and LoRa Networks</t>
  </si>
  <si>
    <t xml:space="preserve">Bansal, M.; Shrivastava, P.; Harshan, J.</t>
  </si>
  <si>
    <t xml:space="preserve">2024 16th International Conference on COMmunication Systems and NETworkS, COMSNETS 2024</t>
  </si>
  <si>
    <t xml:space="preserve">10.1109/comsnets59351.2024.10427321</t>
  </si>
  <si>
    <t xml:space="preserve">In Vehicle-to-Everything (V2X) networks that in-volve multi-hop communication, the Road Side Units (RSUs) typically desire to gather the location information of the participating vehicles to provide security and network-diagnostics features. Although Global Positioning System (GPS) based localization is widely used by vehicles for navigation; they may not forward their exact GPS coordinates to the RSUs due to privacy issues. Therefore, to balance the high-localization requirements of RSU and the privacy of the vehicles, we demonstrate a new spatial-provenance framework wherein the vehicles agree to compromise their privacy to a certain extent and share a low-precision variant of its coordinates in agreement with the demands of the RSU. To study the deployment feasibility of the proposed framework in state-of-the-art wireless standards, we propose a testbed of ZigBee and LoRa devices and implement the underlying protocols on their stack using correlated Bloom filters and Rake compression algorithms. Our demonstrations reveal that low-to-moderate precision localization can be achieved in fewer packets, thus making an appealing case for next-generation vehicular networks to include our methods for providing real-time security and network-diagnostics features.  © 2024 IEEE.</t>
  </si>
  <si>
    <t xml:space="preserve">R288</t>
  </si>
  <si>
    <t xml:space="preserve">FLoRaSat 2: Simulating Cross-Linked Direct-to-Satellite IoT LEO Constellations</t>
  </si>
  <si>
    <t xml:space="preserve">Choquenaira-Florez, A.Y.; Ohs, R.; Fraire, J.A.; Rivano, H.</t>
  </si>
  <si>
    <t xml:space="preserve">2025 12th Advanced Satellite Multimedia Systems Conference and the 18th Signal Processing for Space Communications Workshop, ASMS/SPSC 2025</t>
  </si>
  <si>
    <t xml:space="preserve">10.1109/asms/spsc64465.2025.10946025</t>
  </si>
  <si>
    <t xml:space="preserve">Direct-to-Satellite IoT (DTS-IOT) represents a promising solution for data transmission in remote regions where terrestrial infrastructure deployment is unfeasible. In DTS-IOT scenarios, Low-Earth Orbit (LEO) satellites function as in-orbit gateways. Addressing the need for practical simulation tools, we present FLORASAT 2, an open-source, event-driven, end-to-end simulation tool leveraging OMNET++. The original FLO-RASAT met many DTS-IOT Medium Access Control (MAC) requirements. Still, this enhanced version introduces advanced Inter-Satellite Link (ISL) communication modules, including a helper for constellation creation, dynamic ISL topology control, routing, and analytics, facilitating the thorough evaluation of constellation-grade DTS-IOT networks. These new features allow detailed simulation scenario configuration, flexible support for developing and including diverse routing algorithms, and the tooling to perform automated data analysis from parametric simulations. Overall, the simulator enables the analysis of complex behaviors in DTS-IOT environments, optimizing performance and enhancing connectivity and efficiency in large-scale satellite IoT constellation networks.  © 2025 IEEE.</t>
  </si>
  <si>
    <t xml:space="preserve">R289</t>
  </si>
  <si>
    <t xml:space="preserve">Software Design and Implementation of Intelligent Security System Based on LoRa</t>
  </si>
  <si>
    <t xml:space="preserve">Du, Z.; Peng, D.; Chu, X.; Xu, H.</t>
  </si>
  <si>
    <t xml:space="preserve">10.1109/iccsn57992.2023.10297398</t>
  </si>
  <si>
    <t xml:space="preserve">Intelligent security system is an important part of intelligent site construction, which directly affects the life safety of operators and the level of engineering supervision. Traditional security communication systems for construction, mineral mining and other fields have problems such as small network coverage, low capacity, short terminal life and relatively simple function. According to the application scenarios and business requirements of intelligent security system, this paper uses LoRa AD-hoc networking technology to carry out the network architecture research and key technology design of intelligent security AD-hoc networking system. Further, the detailed design of the embedded software of the system terminal and gateway is completed, and the functions of physical sign monitoring, danger warning and terminal positioning are realized. © 2023 IEEE.</t>
  </si>
  <si>
    <t xml:space="preserve">R290</t>
  </si>
  <si>
    <t xml:space="preserve">23rd International Conference on Embedded Wireless Systems and Networks, EWSN 2026</t>
  </si>
  <si>
    <t xml:space="preserve">The proceedings contain 19 papers. The special focus in this conference is on Conference on Embedded Wireless Systems and Networks. The topics include: Formal Verification and Security Analysis of the MQTT Communication Protocol Standard Specification via UPPAAL-SMC; wiP Paper: Autonomous Embedded Intelligence for Underground Exploration under Intermittent Connectivity; decoding LoRa Packets under Collaborative Jamming Attacks; automatic Network-Based Multi-Channel Frequency Calibration for Self-Joining Crystal-Free Motes; TUF: Time-bounded Fault Tolerance for Nano-satellites; isle: Network-level Isolation for Low-power Embedded Applications; orientation Matters: An Empirical Study on Ranging Performance of Bluetooth 6.0 Channel Sounding; LLM-Assisted Parameter Optimization or Low-Power Wireless Protocols; WiNeRF: Measurement Constrained Radiance Fields for Actionable Wireless Channel Modeling; yield over Energy: Task-based Intermittent Computing with Themis; TIMAEUS: Time Synchronization and Multi-hop Communication in Batteryless Sensor Networks withWake-up Receivers; WiP Paper: eODL: Energy-Aware On-Device Training on Microcontrollers; SOLO: A Self-Supervised Continual Representation Learning Approach for Wearable Human Activity Recognition; UlSWaP Bench: A Benchmark Suite for Ultra-Low Size, Weight and Power Devices; FLock: Enabling Self-Localisation of Embedded Devices in Mobile and Multi-Hop UWB Systems; LLMOffload: Cooperative Offloading for Efficient On-Device LLM Reasoning.</t>
  </si>
  <si>
    <t xml:space="preserve">R291</t>
  </si>
  <si>
    <t xml:space="preserve">Smart IoT System for Boat Theft Prevention Using LoRaMesh and Edge ML</t>
  </si>
  <si>
    <t xml:space="preserve">Coppola, D.V.; Messina, G.G.; Santoro, C.; Santoro, F.F.; Spadola, A.; Sorbello, E.; Tudisco, A.</t>
  </si>
  <si>
    <t xml:space="preserve">Proceedings of the Workshop on Enabling Technologies: Infrastructure for Collaborative Enterprises, WETICE</t>
  </si>
  <si>
    <t xml:space="preserve">10.1109/wetice67341.2025.11092217</t>
  </si>
  <si>
    <t xml:space="preserve">This paper introduces an intelligent monitoring and anti-theft system designed for marine environments. Using Internet of Things technologies, the system utilises onboard devices that function as a finite-state machine, equipped with multiple sensors to gather speed, orientation and movement data. The onboard device is configured by the user with a personal device, which is used to arm and disarm the system via Bluetooth Low Energy. In case of theft, live position data is transmitted across a LoRa Mesh network, enabling long-range communication provided that enough boat nodes are available. The packets are transmitted using an adequate cryptography system based on AES128 keys. The data transmitted is recovered by a dock node, and it can be seen by the dock keeper and simultaneously provided to the users' application.  © 2025 IEEE.</t>
  </si>
  <si>
    <t xml:space="preserve">R292</t>
  </si>
  <si>
    <t xml:space="preserve">Edge–Mesh–Ledger: Federated AI and Blockchain Framework for Scalable Global Sustainability Solutions</t>
  </si>
  <si>
    <t xml:space="preserve">Qu, D.; Ma, Y.</t>
  </si>
  <si>
    <t xml:space="preserve">AI-SI 2025 - IEEE International Conference on Artificial Intelligence for Sustainable Innovation: Shaping the Future with Intelligent Solutions</t>
  </si>
  <si>
    <t xml:space="preserve">10.1109/ai-si66213.2025.11341516</t>
  </si>
  <si>
    <t xml:space="preserve">We propose Edge–Mesh–Ledger (EML), a unified framework for decentralized sustainability analytics that combines TinyML, federated learning, reinforcement coordination, and blockchain verification. We evaluate EML across five edge-IoT datasets using four key metrics—energy-weighted MAE, modularity, privacy budget, and on-chain gas cost. DropHead-pruned GNNs are combined with LoRA adaption and DP-FedYogi optimization in EML to provide individualized and private microcontroller training. System-wide hyperparameters are dynamically adjusted by a population-based reinforcement learning controller in the fog layer to maximize communication overhead, accuracy, and energy consumption. Zk-rollup-based smart contracts on the blockchain are used to verify and settle final results, allowing for inexpensive, auditable carbon-credit tracking. Experiments on five datasets from edge IoT networks demonstrate that EML decreases gas cost by 95.2%, improves energy-weighted MAE by 18.4%, and increases modularity by 27.1% when compared to state-of-the-art baselines, all while maintaining constant power consumption under scaling. These findings show how EML may provide verifiable, scalable, and ESG-compliant edge intelligence. ©2025 IEEE.</t>
  </si>
  <si>
    <t xml:space="preserve">R293</t>
  </si>
  <si>
    <t xml:space="preserve">Development of LoRa-based on Road Lighting Integrated Control System using IoT</t>
  </si>
  <si>
    <t xml:space="preserve">Kim, G.-H.</t>
  </si>
  <si>
    <t xml:space="preserve">International Journal of Innovative Technology and Exploring Engineering</t>
  </si>
  <si>
    <t xml:space="preserve">The purpose of this study is to develop a method to control the operation status of street lights and security lights in a single terminal and to improve the communication failure rate using LoRa module.Methods/Statistical analysis: In this study, it is intended to configure integrated road-light controlling H/W deriving the integrated supervising/controlling measures and realizing the functions in each module. Afterwards, it aims to manufacture security light and test boards to connect them with integrated controlling unit.Findings: Network algorithm has been developed to design the LoRa-based road light controlling system and LoRa-based H/W, establish the measures for connection, and minimize the communication failure between integrated street light controlling unit and individual street lights.Improvement/Applications: LoRa-based wireless communication interface applied technologies are expected to be used as a foundation for establishing U-City infrastructure, and there is a need to conduct a follow-up research in extended scope on 6LoWPAN mesh network. © BEIESP.</t>
  </si>
  <si>
    <t xml:space="preserve">R294</t>
  </si>
  <si>
    <t xml:space="preserve">An Integrated API and WebSocket-Based Framework for Emergency Vehicle Priority Routing</t>
  </si>
  <si>
    <t xml:space="preserve">Harshit, G.; Akhil, K.H.; Mishra, N.; Achyutha, P.; Manitha, P.V.</t>
  </si>
  <si>
    <t xml:space="preserve">Proceedings - 2025 5th International Conference on Expert Clouds and Applications, ICOECA 2025</t>
  </si>
  <si>
    <t xml:space="preserve">10.1109/icoeca66273.2025.00031</t>
  </si>
  <si>
    <t xml:space="preserve">Emergency vehicles must reach their destination without obstacles like trucking in traffic in any life-threatening circumstances. Using Vehicle-to-Vehicle (V2V) communication technology, the extraction of real-time data exchange via the Internet, which is based on Web Sockets, is a suitable method to avoid traffic and clear a path on the road for emergency vehicles. The traditional method that was used for this technique was the integration of the LoRa module in the system. However, this method is not as efficient as the modern method, which uses the Web-Sockets as this enables low-latency and two-way communication. By using this method with optimization algorithms, the emergency vehicles can navigate the traffic congestion and can arrive at their destinations more quickly. This study can also improve the system's performance, guarantee security, and facilitate board deployment.  © 2025 IEEE.</t>
  </si>
  <si>
    <t xml:space="preserve">R295</t>
  </si>
  <si>
    <t xml:space="preserve">LoRaWAN-Based Reliable and Secure Enhanced Routing Protocol for Vehicular Communication System</t>
  </si>
  <si>
    <t xml:space="preserve">Sharma, T.; Daruwala, R.</t>
  </si>
  <si>
    <t xml:space="preserve">International Journal of Intelligent Transportation Systems Research</t>
  </si>
  <si>
    <t xml:space="preserve">10.1007/s13177-024-00409-0</t>
  </si>
  <si>
    <t xml:space="preserve">The Internet of Things (IoT) concept is being extensively embraced in several industries, such as Intelligent Transportation Systems (ITS), to improve effectiveness and sustainability by utilizing advanced transportation resource data. Researching routing protocols is essential for maximizing the efficiency of dynamic Vehicular Ad Hoc Networks (VANETs) in ITS.VANETS utilize wireless technology, including both cellular and non-cellular, to facilitate the transmission of information. The former offers minimal latency but is expensive to operate, but the latter is preferable for lower-data-rate applications decreases costs, and is more energy-efficient. Developing countries are currently enhancing their 5G assistance, but the financial viability of Low Earth Orbit (LEO) satellite technology remains low. Underdeveloped nations require cost-effective, comprehensive wireless communication solutions in both urban and rural regions. One of the prominent choices for the Low Power Wide Area Network (LPWAN) in the 5G ecosystem is the Long Range Wide Area Network (LoRaWAN). This paper presents an enhanced routing protocol that is secure against attacks on the network and offers improved performance metrics. The protocol is designed for information routing in the proposed Vehicular Communication System (VCS). The VCS is tested to verify its efficacy in detecting blind spots. A proof-of-concept prototype for VCS is developed to integrate LoRaWAN technology with an enhanced routing protocol. This integration aims to enhance signal strength, improving communication reliability, network coverage, and security. Furthermore, the system is engineered to optimize vehicle energy efficiency, rendering it well-suited for communication in underdeveloped urban and rural regions. © The Author(s), under exclusive licence to Intelligent Transportation Systems Japan 2024.</t>
  </si>
  <si>
    <t xml:space="preserve">R296</t>
  </si>
  <si>
    <t xml:space="preserve">15th EAI International Conference on Communications and Networking, ChinaCom 2020</t>
  </si>
  <si>
    <t xml:space="preserve">The proceedings contain 54 papers. The special focus in this conference is on Communications and Networking. The topics include: Energy Efficient Scheduling and Time-Slot Sharing for Hyper-Dense D2D Networks Using mmWave; Adaptive Hybrid MAC Protocol with Novel MOB Backoff Scheme for Massive M2M Communications; A MIMO Channel Measurement System Based on Delay Lines and Simulations Based on Graph Modeling; A DNN-based WiFi-RSSI Indoor Localization Method in IoT; a Downlink Scheduling Algorithm Based on Network Slicing for 5G; software Defined Unicast/Multicast Jointed Routing for Real-Time Data Distribution; Interference Coordination Using Cell Cluster for 5G Dynamic TDD System; CPP-Based Cooperative Defense Against DoS Attacks in Future Non-terrestrial Networks; location-Based Multi-site Coordination Beam Tracking for Vehicle mmWave Communications; Multi-modulation Scheme for RFID-Based Sensor Networks; content-Aware Proactive Caching and Energy-Efficient Design in Clustered Small Cell Networks; Land Cover Classification and Accuracy Evaluation Based on Object-Oriented Spatial Features of GF-2; A Signaling Monitor Scheme of RRC Protocol in 5G Road Tester; snoop Through Traffic Counters to Detect Black Holes in Segment Routing Networks; network Select in 5G Heterogeneous Environment by M-F-U Hybrid Algorithm; channel Estimation Algorithm Based on Demodulation Reference Signal in 5G; constrained Multipath Routing Algorithm Based on Satellite Network; container Performance Prediction: Challenges and Solutions; A Random Access Control Scheme for a NOMA-Enabled LoRa Network; fast Power Spectrum Estimation with Sparse Learning for Wideband Spectrum Sensing; Beam-Based Secure Physical Layer Key Generation for mmWave Massive MIMO System; QoS-Guaranteed AP Selection Algorithm in Dense IEEE 802.11 WLANs; a Deep Learning Compiler for Vector Processor.</t>
  </si>
  <si>
    <t xml:space="preserve">R297</t>
  </si>
  <si>
    <t xml:space="preserve">Hybrid Routing for Man-in-the-Middle (MITM) Attack Detection in IoT Networks</t>
  </si>
  <si>
    <t xml:space="preserve">Kang, J.J.; Fahd, K.; Venkatraman, S.; Trujillo-Rasua, R.; Haskell-Dowland, P.</t>
  </si>
  <si>
    <t xml:space="preserve">2019 29th International Telecommunication Networks and Applications Conference, ITNAC 2019</t>
  </si>
  <si>
    <t xml:space="preserve">10.1109/itnac46935.2019.9077977</t>
  </si>
  <si>
    <t xml:space="preserve">Affordable and expandable low power networks such as 5G and Low Power Wide Area Networks (LPWAN) in the public and private network areas have improved network bandwidth capacities and processing performance. Internet of Things (IoT) technologies are increasing in popularity with numerous applications and devices being developed for smart environments and health-related applications. This raises security concerns in these networks, as many IoT devices handle confidential information such as IP/MAC addresses, which could be used to identify a user's location. As a result, there is vulnerability to data tampering by man-in-the-middle (MITM) attacks, which feature two observable characteristics: (1) there is a measurable delay in the session and (2) has unusual travel times compared to prior normal transactions. To improve the detection of these attacks, this paper proposes a novel scheme using a hybrid routing mechanism, which involves appointing dedicated nodes for enforcing routing between IoT devices and users with minimal intervention and workload to the network. The function of dedicated devices with more computational and battery power can provide three advantages: (1) determine secured paths within the network by avoiding suspicious nodes and networks, (2) provide stable travel times (less fluctuations) for a trusted time server (TTS) to improve the accuracy of estimated travel times, and (3) provide packet inspection for security checks. This proposed solution contributes towards increasing the security of IoT networks by enabling the real-time detection of intruders. © 2019 IEEE.</t>
  </si>
  <si>
    <t xml:space="preserve">R298</t>
  </si>
  <si>
    <t xml:space="preserve">Development and Deployment of a Secure, Decentralized Communication Prototype for Emergencies Using Interconnected LoRa Radio Nodes</t>
  </si>
  <si>
    <t xml:space="preserve">Gonzalo Andrés, J.; Román Gallego, J.Á.</t>
  </si>
  <si>
    <t xml:space="preserve">Proceedings of 2026 5th International Conference on Cyber Security, Artificial Intelligence and Digital Economy, CSAIDE 2026</t>
  </si>
  <si>
    <t xml:space="preserve">10.1145/3819836.3819848</t>
  </si>
  <si>
    <t xml:space="preserve">A reliable, independent, wide-range, and low-energy communication solution has been notably lacking for widespread adoption by key community sectors - such as volunteer teams, law enforcement, and emergency services - during high-impact emergency situations. Current centralized infrastructures have proven critically vulnerable, as evidenced by the 2024 DANA in Valencia, where the collapse of mobile networks and the Internet left entire populations isolated. To address this fragility, this work presents the development of a decentralized communication prototype based on LoRa radio technology and ESP32 microcontrollers. The system implements a mesh network topology that allows nodes to autonomously retransmit messages, extending the reach without external base stations. Security is ensured through ChaCha20-Poly1305 end-to-end encryption, complemented by a decentralized key management system using QR codes for secure physical exchanges. A multi-platform interface was developed using Flutter, ensuring a user-friendly experience for coordination. Field tests in real urban environments validated the proposed architecture, achieving a point-to-point range of at least 500 meters without intermediate nodes or external infrastructure. It is concluded that the featured system represents a viable, secure, and independent solution for critical messaging, ensuring operational communication even during the total failure of traditional networks.  © 2026 Copyright held by the owner/author(s).</t>
  </si>
  <si>
    <t xml:space="preserve">R299</t>
  </si>
  <si>
    <t xml:space="preserve">An Efficient Design of IoT Enables Wireless Sensor Network for Energy Optimization in the Agriculture Sector</t>
  </si>
  <si>
    <t xml:space="preserve">Nagar, S.; Neema, V.; Paranjpe, P.; Kashiv, A.</t>
  </si>
  <si>
    <t xml:space="preserve">Journal of The Institution of Engineers (India): Series A</t>
  </si>
  <si>
    <t xml:space="preserve">10.1007/s40030-025-00912-x</t>
  </si>
  <si>
    <t xml:space="preserve">The Wireless Sensor Networks are limited by the majority of products with limited resources. In IoT enabled Wireless Sensor Networks, there are still many unsolved research questions. These include power consumption, efficiency, routing, and network security. Power regulation is an effective method in order to reduce the consumption of energy in Wireless Sensor Network. Wireless Sensor Networks has several nodes connected to the network, capable of measuring network output through transmitted power. This work presents a comprehensive study and practical implementation of the Wireless Sensor Network system in agriculture sector to enhance energy efficiency using IoT. Energy consumption is a serious concern with IoT positioning, mainly in sensor networks where devices are often controlled by limited power sources. The research aims to address this challenge by reviewing present energy-efficient techniques and proposing a novel algorithmic approach to optimize energy consumption in agriculture field while maintaining the network. The proposed method reduced the power consumption by 10% and power saving enhances by 98%.This method results overcome Sensor Node energy limits and increase the lifespan. © The Institution of Engineers (India) 2025.</t>
  </si>
  <si>
    <t xml:space="preserve">R300</t>
  </si>
  <si>
    <t xml:space="preserve">2024 17th International Conference on Development and Application Systems, DAS 2024 - Proceedings</t>
  </si>
  <si>
    <t xml:space="preserve">The proceedings contain 36 papers. The topics discussed include: expanding IoT connectivity by using 2.4 GHz lora technology; trends in the detection and interpretation of human movements and mime-gesture; ai driven adaptive security mesh: cloud container protection for dynamic threat landscapes; exploring gender bias and toxic comments using artificial intelligence: trends and implications; revolutionizing upper limb motor control restoration: a novel EMG-based feedback system for individuals with neurological diseases; infrared image recognition of power equipment based on improved yolov5; advancing towards clinical validation of an innovative system for restoring upper limb control in individuals with neurological disorders; and monitoring energy losses of a residential building through thermographic assessments.</t>
  </si>
  <si>
    <t xml:space="preserve">R301</t>
  </si>
  <si>
    <t xml:space="preserve">Demystifying Mining Sustainability Through Efficient and Low Cost IoT Based Safety Implementations</t>
  </si>
  <si>
    <t xml:space="preserve">Hussain, R.; Zakai, F.M.; Iqbal, A.</t>
  </si>
  <si>
    <t xml:space="preserve">2022 Global Conference on Wireless and Optical Technologies, GCWOT 2022</t>
  </si>
  <si>
    <t xml:space="preserve">10.1109/gcwot53057.2022.9772903</t>
  </si>
  <si>
    <t xml:space="preserve">Safety process of any person is major importance in the industries application, particularly in coal mine areas, where numerous accidents occur with minor mistakes and many persons were injured or died or stuck for long time. In this research, we investigate the economical, efficient and sustainable system for the coal miners for improving protection levels. This system synchronizes the multiple sensors that respond various operations. It is also detecting the various parameters for the protection of coal miners including checking whether the miner is alive or not, depth of the minor, pressure upon the minor, the temperature, humidity inside the mines, hazard gasses level, burning fire inside the mine and Geophysical location of the miners inside the mines. An emergency button is also placed to send alert if any uncertain accident occurs inside mines. All these sensed parameters will then send to the control room where it operates and monitor the safety precaution. In case of any disaster maximum lives may retain by setting priority to dig those places first where the miners are alive. The complete system is implemented on a signal wearing jacket and the signal will be transmitted wirelessly usingESPS2 WI- FI module to the IP of router. Arduino will receive the data from sensors which is linked with WI- FI module via serial communication. ESP32 will then transmit the data to respective node and furthermore that node will send the data to the Control Room for monitoring and taking any action if required. © 2022 IEEE.</t>
  </si>
  <si>
    <t xml:space="preserve">R302</t>
  </si>
  <si>
    <t xml:space="preserve">Complex domain approach for reversible data hiding and homomorphic encryption: General framework and application to dispersed data</t>
  </si>
  <si>
    <t xml:space="preserve">Megías, D.</t>
  </si>
  <si>
    <t xml:space="preserve">Journal of Information Security and Applications</t>
  </si>
  <si>
    <t xml:space="preserve">10.1016/j.jisa.2026.104596</t>
  </si>
  <si>
    <t xml:space="preserve">Ensuring the trustworthiness of data from distributed and resource-constrained environments, such as Wireless Sensor Networks or IoT devices, is critical. Existing Reversible Data Hiding (RDH) methods for scalar data suffer from low embedding capacity and poor intrinsic entanglement between host data and watermark. This paper introduces Hiding in the Imaginary Domain with Data Encryption (H[ i ]dden), a novel framework based on complex number arithmetic for simultaneous information embedding and encryption. The H[ i ]dden framework offers perfect reversibility, highly scalable watermark capacity decoupled from the host data’s range, and intrinsic data-watermark entanglement. The paper further introduces two protocols: H[ i ]dden-EG, for joint reversible data hiding and encryption, and H[ i ]dden-AggP, for privacy-preserving aggregation of watermarked data, based on partially homomorphic encryption. Rigorous comparative evaluation against recent state-of-the-art baselines demonstrates that the framework significantly expands embedding capacity and achieves an exponential improvement in False Data Injection (FDI) resilience —ranging from 105 to 1019 under standard configurations— effectively neutralizing targeted structural vulnerabilities such as homomorphic injection attacks. Furthermore, empirical performance analysis —encompassing hardware-agnostic cryptographic metrics and direct IoT edge hardware emulation (ESP32)— confirms the practical deployment feasibility of the framework within standard sensor duty cycles. Ultimately, these protocols provide efficient and resilient solutions for data integrity, provenance (or group-level integrity in the aggregated case), and confidentiality, serving as a foundation for new schemes based on the algebraic properties of the complex domain. © 2026 Elsevier Ltd.</t>
  </si>
  <si>
    <t xml:space="preserve">R303</t>
  </si>
  <si>
    <t xml:space="preserve">Scalable Cryptography for Trustworthy Machine Learning in the LLM Era</t>
  </si>
  <si>
    <t xml:space="preserve">Tan, G.</t>
  </si>
  <si>
    <t xml:space="preserve">CCS 2025 - Proceedings of the 2025 ACM SIGSAC Conference on Computer and Communications Security</t>
  </si>
  <si>
    <t xml:space="preserve">10.1145/3719027.3765571</t>
  </si>
  <si>
    <t xml:space="preserve">Modern cryptographic tools such as multi-party computation (MPC) and zero-knowledge proofs (ZKPs) offer strong, provable security guarantees-but these generic protocols remain impractical for production-scale machine learning (ML), especially in the era of large language models (LLMs). This thesis proposal advances the central claim that cryptographic protocols co-designed with the structure of specific ML subtasks can achieve practical efficiency without compromising privacy or verifiability. To validate this vision, this proposal develops three interconnected research thrusts: (1) Confidential Outsourced Training. Customized MPC protocols shift expensive cryptographic steps to local computations, enabling secure training of large models in untrusted clouds by resource-constrained data owners. (2) Scalable MPC Primitives for Large Datasets. Provably secure building blocks-such as oblivious shuffles, private joins, and sparse linear algebra routines-bridge the performance gap in privacy-preserving data pipelines at scale. (3) Verifiable ML without Retraining. Rather than proving each training step, a new proof-of-optimality framework certifies that a trained or fine-tuned model (e.g., LoRA adapters) satisfies desired properties, enabling efficient, auditable deployment without re-executing training. Together, these efforts aim to close the long-standing gap between privacy and efficiency, demonstrating that strong cryptographic guarantees and modern ML workflows can be reconciled through principled, application-aware design. © 2025 Copyright held by the owner/author(s).</t>
  </si>
  <si>
    <t xml:space="preserve">R304</t>
  </si>
  <si>
    <t xml:space="preserve">Secure Federated Intrusion Detection for Resource-Constrained IoT Devices Using Lightweight Cryptography: A Hardware-Validated Study</t>
  </si>
  <si>
    <t xml:space="preserve">Tursynbek, Y.; Albanbay, N.; Djenouri, D.; Latif, S.; Akhmediyarova, A.; Alibiyeva, Z.; Alimkulova, J.; Oralbekova, D.</t>
  </si>
  <si>
    <t xml:space="preserve">10.3390/fi18060306</t>
  </si>
  <si>
    <t xml:space="preserve">Federated learning (FL) enables distributed model training in IoT environments while keeping raw data on local devices. However, protecting model-update exchange is difficult on microcontroller-class devices due to strict latency, memory, and energy constraints. Existing studies often evaluate lightweight cryptography outside complete FL pipelines or on more powerful hardware, leaving its practical overhead on MCU-class devices insufficiently explored. This paper presents an end-to-end, hardware-validated secure framework for exchanging model updates in federated learning on resource-constrained IoT microcontrollers. Implemented on ESP32-based edge devices, the framework combines lightweight block ciphers (SPECK, SIMON, and PRESENT), HMAC-SHA256 for integrity verification, and ECDH-HKDF for session-key establishment. The evaluation assessed latency, throughput, RAM/ROM footprint, and energy consumption. Results show that SPECK provides the lowest overhead (0.13 µs/byte, 8.68 MB/s, 138.3 mJ), SIMON offers intermediate performance (0.41 µs/byte, 1.96 MB/s, 184.9 mJ), and PRESENT incurs the highest computational cost (89.37 µs/byte, 0.011 MB/s, 446.2 mJ). In the CICIoT2023 federated intrusion-detection evaluation, the secure model maintained stable convergence and achieved 85.43% accuracy after 20 rounds, remaining close to the centralized baseline. These findings demonstrate the practical feasibility of secure model-update exchange in FL on real IoT microcontrollers and provide hardware-grounded guidance for cipher selection under tight resource budgets. © 2026 by the authors.</t>
  </si>
  <si>
    <t xml:space="preserve">R305</t>
  </si>
  <si>
    <t xml:space="preserve">Optimized Lightweight Security for UAV Authentication in LoRa Communication Systems</t>
  </si>
  <si>
    <t xml:space="preserve">Vu, K.T.; Le, C.N.; Hoang, T.T.; Xuan, H.M.; Trong, H.P.</t>
  </si>
  <si>
    <t xml:space="preserve">EEE-AM 2025 - IEEE 2nd Asia Meeting on Environment and Electrical Engineering</t>
  </si>
  <si>
    <t xml:space="preserve">10.1109/eee-am66675.2025.11473825</t>
  </si>
  <si>
    <t xml:space="preserve">This paper proposes a lightweight authentication protocol designed for resource-constrained embedded systems deployed on unmanned aerial vehicles (UAVs). The protocol leverages the structure of a nonlinear pseudo-random sequence to enhance security while maintaining low computational complexity. The randomness and linear complexity of the protocol are evaluated using the NIST statistical test suite. The protocol is simulated on an ESP32 microcontroller connected to an SX1278 LoRa module to assess its feasibility and system response time. Experimental results show that the random sequence used in the protocol passes seven fundamental NIST tests. When implemented on the microcontroller, the proposed protocol occupies 24% of the Flash memory, 22% of the RAM, and requires 650 ms for authentication. These results demonstrate the practicality of applying the proposed protocol in real-world scenarios.  © 2025 IEEE.</t>
  </si>
  <si>
    <t xml:space="preserve">R306</t>
  </si>
  <si>
    <t xml:space="preserve">SHERLOC: a privacy-preserving smart home system with secure message routing and privilege control</t>
  </si>
  <si>
    <t xml:space="preserve">Wan, Z.; Zhang, R.; Tao, Y.; Lv, Y.</t>
  </si>
  <si>
    <t xml:space="preserve">Cybersecurity</t>
  </si>
  <si>
    <t xml:space="preserve">10.1186/s42400-026-00621-3</t>
  </si>
  <si>
    <t xml:space="preserve">Smart home platforms predominantly adopt the broker-mediated publish/subscribe model (e.g., MQTT) for seamless device-app coordination. However, this architecture introduces a fundamental privacy-functionality conflict: the broker requires plaintext metadata (topic strings) for message routing, which inadvertently exposes fine-grained user behavioral patterns to semi-trusted service providers. Furthermore, existing systems lack rigorous cryptographic enforcement for app permissions, leaving the ecosystem vulnerable to over-privileged or malicious apps. While conventional Attribute-Based Encryption (ABE) provides fine-grained read-side access control, it cannot enforce writer-bound policies and remains computationally prohibitive for resource-constrained IoT nodes. In this paper, we propose SHERLOC, a practical and privacy-preserving framework that reconciles secure message routing with fine-grained privilege control. SHERLOC introduces two core primitives: (1) Secret Queue Telemetry Transport (SQTT), which leverages a novel trapdoor-based matching mechanism to support multi-level wildcard routing while ensuring topic indistinguishability and resistance against inside keyword-guessing attacks (IKGA); and (2) Outsourced Inner-Product Access Control Encryption (OS-IPACE), an attribute-hiding scheme that enforces dual no-read and no-write security for apps by offloading intensive pairing operations to a local hub without compromising data secrecy. We provide formal security proofs reducing SHERLOC’s privacy guarantees to the SXDH assumption. Experimental results from a full-scale prototype, comprising ESP32-based devices and Android apps, demonstrate that SHERLOC incurs millisecond-level latency and maintains compatibility with legacy MQTT brokers without altering protocol semantics, making it a robust and deployable solution for modern smart home environments. © The Author(s) 2026.</t>
  </si>
  <si>
    <t xml:space="preserve">R307</t>
  </si>
  <si>
    <t xml:space="preserve">Secure IoT Communication with EDHOC and OSCORE on ESP32 Based Prototypes</t>
  </si>
  <si>
    <t xml:space="preserve">Tirsu, V.; Sava, L.; Aniţa, N.</t>
  </si>
  <si>
    <t xml:space="preserve">10.1109/blackseacom69760.2026.11598536</t>
  </si>
  <si>
    <t xml:space="preserve">Internet of Things (IoT) deployments increasingly rely on constrained devices with limited memory, processing capabilities, and energy resources, which limits the applicability of traditional transport-layer security mechanisms such as TLS and DTLS. This paper presents the design, implementation, and experimental validation of a secure IoT prototype that employs object-level protection for CoAP communication using OSCORE, with cryptographic material established through EDHOC. The proposed solution is implemented on an ESP32-based sensing node and a Raspberry Pi 400 gateway and evaluated under controlled laboratory conditions using real hardware. The experimental results confirm the feasibility of integrating EDHOC and OSCORE on resource-constrained devices and demonstrate reliable end-to-end message protection with robust behavior against common IoT security threats.  © 2026 IEEE.</t>
  </si>
  <si>
    <t xml:space="preserve">R308</t>
  </si>
  <si>
    <t xml:space="preserve">BLAKE: BLE-based lightweight authentication and key-exchange via PUF</t>
  </si>
  <si>
    <t xml:space="preserve">Gupta, C.; Varshney, G.</t>
  </si>
  <si>
    <t xml:space="preserve">10.1016/j.adhoc.2026.104370</t>
  </si>
  <si>
    <t xml:space="preserve">Internet of Things (IoT) is rapidly transforming modern living by interconnecting billions of devices across diverse applications and enabling seamless data exchange. Several wireless sensor network (WSN) protocols, including Bluetooth Low Energy (BLE), Zigbee, and Z-Wave, support this ecosystem, with BLE emerging as the widely adopted standard due to its low cost, simplicity, and energy efficiency. However, existing BLE pairing mechanisms remain vulnerable to impersonation, man-in-the-middle (MITM), and eavesdropping attacks, especially in constrained smart-home deployments where devices often operate without strong physical protection or direct Internet connectivity, lacking robust authentication and public key validation. To address these challenges, we investigate lightweight PUF-assisted authentication for BLE deployments in which devices may rely on helper, fog or gateway devices for remote server connectivity. We first perform a detailed cryptanalysis of the PLAKE protocol, a lightweight PUF-based scheme for IoT authentication, and uncover several weaknesses, including impersonation, MITM, and session key disclosure vulnerabilities. Motivated by these weaknesses, we present BLAKE, a helper-assisted BLE-oriented realization of lightweight PUF-based authentication and key exchange that adapts a PLAKE-style design to BLE-constrained IoT deployment. In BLAKE, a BLE device communicates with a nearby client/helper device over BLE, while the helper relays protocol messages to a remote server, enabling secure authentication without requiring direct network connectivity at the BLE endpoint. The design retains lightweight XOR- and hash-based computation at the endpoint, while reducing verifier-side exposure by maintaining only a single active CRP per device at the server and avoiding dependence on a privileged helper/gateway that stores BLE-device-side secret material or CRP state. Symbolic security analysis using AVISPA, complemented by informal analysis under the stated threat model, provides evidence of resistance to the considered replay, impersonation, and session-key disclosure attacks in the modeled Dolev-Yao setting. A prototype implementation on ESP32, together with BLE-centric networking experiments covering multi-device operation and helper-impaired conditions, demonstrates low overhead and practical deployability for resource-constrained BLE-enabled IoT environments. © 2026 Elsevier B.V. All rights are reserved, including those for text and data mining, AI training, and similar technologies.</t>
  </si>
  <si>
    <t xml:space="preserve">R309</t>
  </si>
  <si>
    <t xml:space="preserve">A Privacy-Preserving Edge-AI Framework for EEG-based Emotion Recognition using Lightweight Authenticated Encryption over BLE</t>
  </si>
  <si>
    <t xml:space="preserve">Nguyen-Duy, X.-B.; Dinh-Duc, A.-V.</t>
  </si>
  <si>
    <t xml:space="preserve">CCIOT 2025 - Proceedings of 2025 10th International Conference on Cloud Computing and Internet of Things</t>
  </si>
  <si>
    <t xml:space="preserve">10.1145/3785520.3785521</t>
  </si>
  <si>
    <t xml:space="preserve">Emotion recognition from electroencephalogram (EEG) signals is increasingly used in wearable health monitoring and brain-computer interface (BCI) systems. Yet, EEG data contains highly sensitive information, posing privacy and security risks when transmitted from edge devices. This paper proposes a privacy-preserving embedded framework for real-time EEG signal processing and emotion classification, secured at the application layer using Ascon, the NIST-standard lightweight authenticated encryption. The system performs signal denoising using discrete wavelet transform and lightweight ICA, extracts time-frequency features and classifies emotional states using a quantized MLP model deployed on the Nordic nRF52840 microcontroller. To protect user data beyond BLE link-layer encryption, feature vectors are encrypted using Ascon-128 AEAD, ensuring confidentiality, integrity, and replay protection. Experiments on real EEG data show that the system achieves up to 88% accuracy, with encryption adding less than 5.5 ms latency and ∼2 mA power overhead. The Ascon module adds only 1.2 KB to firmware size, making it suitable for low-power wearables. Our work demonstrates that secure, real-time emotion inference is feasible on embedded edge devices without external servers or trusted BLE stacks. The framework establishes a baseline for secure AI deployment in resource-constrained health monitoring systems.  © 2025 Copyright held by the owner/author(s).</t>
  </si>
  <si>
    <t xml:space="preserve">R310</t>
  </si>
  <si>
    <t xml:space="preserve">Enhancing UAV Data Security Using Lightweight Cryptography Module</t>
  </si>
  <si>
    <t xml:space="preserve">Baliński, S.; Śniatala, P.; Sobieraj, M.; Xie, J.</t>
  </si>
  <si>
    <t xml:space="preserve">Mixed Design of Integrated Circuits and Systems, MIXDES 2026</t>
  </si>
  <si>
    <t xml:space="preserve">10.23919/mixdes69535.2026.11617208</t>
  </si>
  <si>
    <t xml:space="preserve">The article presents an implementation of the lightweight cryptography module dedicated to secure Unmanned Aerial Vehicle (UAV) or IoT data transmission and/or storage. The ASCON algorithm was implemented on the ESP32 micro-controller platform. The system is built on the ESP32 module integrated with the camera and is ready for installation on the UAV platform.  © 2026 Lodz University of Technology.</t>
  </si>
  <si>
    <t xml:space="preserve">R311</t>
  </si>
  <si>
    <t xml:space="preserve">Smart lock Authentication System Using Ble Proximity and Cryptographically - Signed VP Transport</t>
  </si>
  <si>
    <t xml:space="preserve">Kiran, P.; Manohar, P.; Chethana, R.; Darshan, N.; Shetty, R.; Sanjay, N.</t>
  </si>
  <si>
    <t xml:space="preserve">ICKECS 2026 - Proceedings of 4th IEEE International Conference on Knowledge Engineering and Communication Systems</t>
  </si>
  <si>
    <t xml:space="preserve">10.1109/ickecs70176.2026.11527971</t>
  </si>
  <si>
    <t xml:space="preserve">Contemporary smart-access systems often rely on mobile apps or tokens, yet many still transmit static codes or loosely protected messages, which makes them easy to clone or replay. This paper presents a SmartLock design that performs all security checks directly on the device, so it keeps working even without an Internet connection or a backend server.The lock uses Bluetooth Low Energy (BLE) purely as a short-range link, and ties every unlock attempt to a fresh nonce and an Ed25519-signed Verifiable Presentation (VP) created on the user's phone. The phone encodes the nonce and an access claim into a compact JSON object, signs it with a key stored locally, and writes the result to a dedicated GATT characteristic. On the ESP32, the Monocypher library verifies the signature, checks that the nonce matches the one it issued, and confirms the claim before driving the relay. The W3C VP format was chosen over a plain signed message to provide a self-describing, standards-compliant credential envelope that supports future extensibility and decentralized identity integration. Measurements show that the full verification path completes in well under 20ms on the ESP32, providing a fast yet replay-resistant offline authentication flow suited to constrained IoT locks. © 2026 IEEE.</t>
  </si>
  <si>
    <t xml:space="preserve">R312</t>
  </si>
  <si>
    <t xml:space="preserve">The Implementaion of MICKEY Cipher in Securing Constrained Devices Based on LoRa</t>
  </si>
  <si>
    <t xml:space="preserve">Limas, F.B.; Kusyanti, A.; Primananda, R.</t>
  </si>
  <si>
    <t xml:space="preserve">10.1145/3626641.3627018</t>
  </si>
  <si>
    <t xml:space="preserve">Internet of Things (IoT) technology is one of the supporters of Industry 4.0 which requires a minimum of human error and runs 24/7 so that easier to manage and more accurate without human intervention. One of the current trending IoT communication modules is the Long Range (LoRa). LoRa has the advantage of long communication distances and energy-saving modules. However, LoRa also has a drawback where it transmits data via radio waves so that other LoRa with the same frequency can receive the data even though they are not legitimate recipients. Therefore, this study implements the MICKEY cipher algorithm to secure data to maintain data confidentiality based on LoRa communication. The result of this research is the confidentiality of data transmission between LoRa is guaranteed from eavesdroppers or other unauthorized recipients. The evaluation of security is considered effective and capable of securing data effectively, as demonstrated by the evidence from passive and active attack i.e., sniffing and Known Plaintext Attack (KPA). © 2023 ACM.</t>
  </si>
  <si>
    <t xml:space="preserve">R313</t>
  </si>
  <si>
    <t xml:space="preserve">Enhancing Data Logger Telemetry Security for Go-Karts using GIFT-COFB Algorithm</t>
  </si>
  <si>
    <t xml:space="preserve">Wiradarma, P.A.; Simamora, A.T.; Lintang, S.; Hasanuddin, M.O.</t>
  </si>
  <si>
    <t xml:space="preserve">Proceedings of the International Conference on Electrical Engineering and Informatics</t>
  </si>
  <si>
    <t xml:space="preserve">10.1109/iceei59426.2023.10346851</t>
  </si>
  <si>
    <t xml:space="preserve">This study focuses on the implementation of the GIFT-COFB lightweight cryptography algorithm to enhance the security of kart telemetry, specifically for the steering angle and throttle position data. The selection of GIFT-COFB was based on its suitability for microcontroller systems such as ESP32. The communication channel utilized MQTT, and a simulation circuit was designed with a potentiometer to obtain data for the mentioned parameters. The ESP32 microcontroller was employed to handle encryption for publishers and decryption for subscribers, leveraging additional libraries such as PubSubClient and WiFi in the Arduino IDE. The evaluation demonstrated that the GIFT-COFB algorithm effectively encrypts and decrypts messages. However, it was observed that the encryption process(631,0667ms) resulted in longer execution times compared to non-encrypted data(12,75ms). Meanwhile, for QoS analysis, without encryption, an average throughput of 42.11Kbit/s, 0% packet loss, 34.95ms time delay, and 34.9095ms delay is obtained which is better than when encrypting with a throughput rate of 18.48Kbit/s. s, 0% packet loss, 108.148ms time delay, and 95.67ms jitter. © 2023 IEEE.</t>
  </si>
  <si>
    <t xml:space="preserve">R314</t>
  </si>
  <si>
    <t xml:space="preserve">Authentication Overhead in Post-Quantum IoT for Classical, Full-PQC and Hybrid TLS</t>
  </si>
  <si>
    <t xml:space="preserve">Krusniauskas, S.; Grigaliunas, S.; Bruzgiene, R.</t>
  </si>
  <si>
    <t xml:space="preserve">Advances in Information, Electronic and Electrical Engineering, AIEEE 2026 - Proceedings of the 13th IEEE Workshop</t>
  </si>
  <si>
    <t xml:space="preserve">10.1109/aieee71113.2026.11577039</t>
  </si>
  <si>
    <t xml:space="preserve">The transition to post-quantum cryptography is particularly challenging for resource-constrained IoT devices, where improved cryptographic resilience must be balanced against latency, energy, and reliability constraints. This paper presents an empirical evaluation of TLS 1.3 authentication overhead on ESP32 under three key-exchange modes: classical X25519, full post-quantum ML-KEM-768, and hybrid X25519+ML-KEM-768. The study contributes the first direct large-scale comparison of these regimes on Xtensa-class hardware using wolfSSL and introduces IoT-QARS, an extension of the PAREK risk model that incorporates measured deployment overhead. Across 3,000 recorded sessions, including 2,938 successful handshakes, ML-KEM-768 reduced mean handshake latency by 43% and connection energy by 34% relative to X25519, while the hybrid mode increased latency and energy by only 11% and 7%, respectively. However, full PQC exhibited a 3.8% connectionfailure rate, likely caused by larger cryptographic payloads and buffer constraints. Applied to an industrial sensor profile, IoTQARS identifies hybrid deployment as the most practical nearterm migration option and highlights TCP-buffer tuning as a prerequisite for reliable full-PQC adoption. These results provide actionable guidance for post-quantum migration in embedded and industrial IoT environments.  © 2026 IEEE.</t>
  </si>
  <si>
    <t xml:space="preserve">R315</t>
  </si>
  <si>
    <t xml:space="preserve">Physical-Unclonable-Function-Based Secure and Anonymous User Authentication for Smart Homes</t>
  </si>
  <si>
    <t xml:space="preserve">Garapati, R.S.; Paleti, S.; Meda, R.; Nagabhyru, K.C.; Deepa Priya, B.S.</t>
  </si>
  <si>
    <t xml:space="preserve">10.1007/978-3-032-20235-2_33</t>
  </si>
  <si>
    <t xml:space="preserve">The proliferation of Internet of Things (IoT) devices in smart homes necessitates secure, lightweight, and privacy-preserving authentication mechanisms. This paper presents a Physical Unclonable Function (PUF)-based secure and anonymous user authentication protocol specifically designed for resource-constrained smart home environments. The proposed scheme leverages PUF challenge response mechanisms for device-specific authentication and integrates dynamic pseudonym generation to ensure user anonymity. Implemented on an ESP32 IoT board with an Arbiter PUF, the protocol underwent formal verification using AVISPA and ProVerif, confirming resilience against cloning, impersonation, replay, eavesdropping, and man-in-the-middle attacks. Experimental results demonstrate high uniqueness (49.8%), reliability (&gt;99%), and significant performance gains, with authentication times reduced by ~63% over ECC and ~ 82% over RSA, along with reduced memory and energy consumption. Deployment in a smart home testbed validated scalability to 50+ devices without performance degradation. The implementation confirms that PUF-based authentication offers a compelling balance between security, privacy, and efficiency for IoT smart homes. Future work will focus on enhancing PUF reliability under extreme environmental variations, integrating machine learning-resistant PUF architectures, and optimizing scalability for large-scale IoT ecosystems involving hundreds or thousands of devices. This research lays a robust foundation for next-generation secure and anonymous smart home authentication solutions. © The Author(s), under exclusive license to Springer Nature Switzerland AG 2026.</t>
  </si>
  <si>
    <t xml:space="preserve">R316</t>
  </si>
  <si>
    <t xml:space="preserve">Holistic Re-Engineering of the PRESENT Algorithm: A Synergistic Design for Superior Security and Performance on IoT Platforms</t>
  </si>
  <si>
    <t xml:space="preserve">Limbong, D.S.; Rosdiana, S.; Mathias, Z.Z.; Aulia Akbar, N.</t>
  </si>
  <si>
    <t xml:space="preserve">Proceedings of 2025 IEEE International Conference on Internet of Things and Intelligence Systems, IoTaIS 2025</t>
  </si>
  <si>
    <t xml:space="preserve">10.1109/iotais67227.2025.11282126</t>
  </si>
  <si>
    <t xml:space="preserve">The widespread use of Internet of Things (IoT) devices demands lightweight ciphers that ensure strong security while remaining efficient in software. PRESENT, standardized as ISO/IEC 29192-2, is hardware-friendly but its linear key schedule and bitwise permutation are inefficient on 32/64-bit CPUs. This paper introduces PRESENT-H, a re-engineered variant that combines a key-dependent Feistel-ARX permutation layer with a non-linear key schedule (KSA-H). The design improves diffusion speed and reduces computational overhead, making it suitable for microcontroller-based IoT platforms. Experimental evaluation shows that PRESENT-H achieves faster avalanche propagation (t50 = 5 vs. t50 = 7), a higher diffusion curve area (1429.99 vs. 1374.17), and up to 3.8× performance improvement on ESP32. Security analysis of PRESENT-H indicates stronger resistance in early rounds, while PRESENT maintains a higher margin in full rounds. These results emphasize the trade-offs between hardware- and software-optimized ciphers, underscoring the need to align lightweight cryptography with its execution environment.  © 2025 IEEE.</t>
  </si>
  <si>
    <t xml:space="preserve">R317</t>
  </si>
  <si>
    <t xml:space="preserve">Lightweight Ensemble Deep Learning-Based Device Identification for LoRa RF Fingerprinting in IoT Networks</t>
  </si>
  <si>
    <t xml:space="preserve">Tan, F.; Oksuz, C.</t>
  </si>
  <si>
    <t xml:space="preserve">SIU 2026 - 34th Signal Processing and Communications Applications Conference, Conference Proceedings</t>
  </si>
  <si>
    <t xml:space="preserve">10.1109/siu71813.2026.11636870</t>
  </si>
  <si>
    <t xml:space="preserve">Device authentication in LoRa-based IoT networks has become an important research topic, particularly from the perspective of physical-layer security. In this study, a lightweight and effective RF fingerprinting approach is proposed to identify LoRa devices by exploiting hardware-specific signal characteristics. The proposed method relies on a soft voting-based ensemble classification strategy to combine complementary features learned by different architectures. Specifically, ChirpNet-Lite, which models the time-frequency structure of LoRa signals, and Extreme-Lite, which provides a low parameter count and fast inference, are jointly employed. The class probabilities produced by these two models are combined through a soft voting mechanism to obtain a more robust classification. The proposed method is evaluated on the official test split of the LoRa_RFFI dataset. Experimental results show that the method achieves an accuracy of 98.90%, demonstrating competitive performance compared to many existing approaches in literature. Furthermore, the model contains only approximately 57 K parameters and 15.37M FLOPs, highlighting its computational efficiency. This makes the proposed approach particularly suitable for deployment on resource-constrained IoT gateways and edge systems. © 2026 IEEE.</t>
  </si>
  <si>
    <t xml:space="preserve">R318</t>
  </si>
  <si>
    <t xml:space="preserve">Green IoT Communications with ASCON-MQTT: A Framework for Secure and Low-Power Connectivity</t>
  </si>
  <si>
    <t xml:space="preserve">Panda, A.K.; Haldar, R.; Roy, A.; Mondal, H.S.; Ghosal, B.; Bhunia, A.K.</t>
  </si>
  <si>
    <t xml:space="preserve">2025 IEEE 2nd International Conference on Green Industrial Electronics and Sustainable Technologies, GIEST 2025</t>
  </si>
  <si>
    <t xml:space="preserve">10.1109/giest66547.2025.11387262</t>
  </si>
  <si>
    <t xml:space="preserve">The growing adoption of of Internet of Things (IoT) devices necessitates secure and energy-efficient communication protocols to address the constraints of limited computational resources and power consumption. While the Message Queuing Telemetry Transport (MQTT) protocol is widely adopted for IoT messaging, its reliance on Transport Layer Security (TLS) introduces significant overhead, making it unsuitable for resource-constrained devices. Compared to traditional AES-128-GCM implementations, ASCON-MQTT achieves significantly improved performance metrics, demonstrating 1.4 times faster than AES-based and 4 times fastert than TLS on ESP32 platforms. By replacing the computational overhead of AES and TLS with ASCON's lightweight authenticated encryption, our solution simultaneously enhances both security and efficiency. This paper presents ASCON-MQTT, a lightweight framework that integrates the NIST-standardized ASCON cryptographic algorithm with MQTT to provide end-to-end security while optimizing energy efficiency. ASCON-MQTT ensures confidentiality, integrity, and authenticity at the application layer, eliminating the need for a trusted broker. Our results show that ASCON-MQTT is a viable solution for secure and sustainable IoT deployments in smart cities, industrial automation, and healthcare monitoring systems. © 2025 IEEE.</t>
  </si>
  <si>
    <t xml:space="preserve">R319</t>
  </si>
  <si>
    <t xml:space="preserve">Sniffing Prevention in LoRa Network Using Combination of Advanced Encryption Standard (AES) and Message Authentication Code (MAC)</t>
  </si>
  <si>
    <t xml:space="preserve">Windya, P.A.; Suryani, V.; Wardana, A.A.</t>
  </si>
  <si>
    <t xml:space="preserve">2021 International Conference Advancement in Data Science, E-Learning and Information Systems, ICADEIS 2021</t>
  </si>
  <si>
    <t xml:space="preserve">10.1109/icadeis52521.2021.9702081</t>
  </si>
  <si>
    <t xml:space="preserve">One of the characteristics of IoT devices is related to their limited resources. These devices are often referred to as IoT-constrained devices. The limited resources of IoT devices becomes a challenge in choosing an appropriate security method. To overcome this problem, an appropriate security method in the use of AES algorithms and MAC is deemed important. The variants of AES algorithm used in this research included AES128 and AES256. Meanwhile, the MAC algorithm used was Hash-based Message Authentication Code (HMAC). This paper presents how to prevent the sniffing activity on wireless sensor network - especially in LoRa networks due to the increasing use of LoRa, as well as the development of IoT devices. Based on the results of the security analysis that has been done, this method was found to be able to guarantee the aspects of confidentiality, authentication, and integrity. In this paper, overhead analysis on IoT constrained devices class 0 and class 2 was also performed with the results showing that this method was acceptable to be implemented on IoT constrained devices class 0 and class 2. © 2021 IEEE.</t>
  </si>
  <si>
    <t xml:space="preserve">R320</t>
  </si>
  <si>
    <t xml:space="preserve">A Blockchain-Enabled Privacy-Preserving IoT Framework With Domain-Adaptive Anomaly Detection in Zero-Trust Environments</t>
  </si>
  <si>
    <t xml:space="preserve">Alanazi, F.; Zareei, M.; García Martínez, M.</t>
  </si>
  <si>
    <t xml:space="preserve">10.1109/access.2025.3624661</t>
  </si>
  <si>
    <t xml:space="preserve">Although the fast growth of Internet of Things (IoT) across multiple industries has significantly enhanced operational efficiency, it also brings major security and privacy management obstacles—particularly in zero-trust environments. Centralized security systems demonstrate built-in scalability constraints and susceptibility to attacks, whereas blockchain solutions provide decentralized audit capabilities but face challenges with latency and storage capacity limitations. Our work advances IoT security and privacy protection through a blockchain-based framework that combines a permissioned blockchain system with sophisticated cryptographic protocols (including post-quantum cryptography) and implements off-chain storage with IPFS alongside an adversarial domain adaptation method for real-time anomaly detection. Our approach addresses common criticisms found in the literature by publishing detailed simulation parameters and comparing our system with leading frameworks—such as vanilla PoW, Hyperledger Fabric, and DAG-based chains (e.g., IOTA)—while assessing performance through NS-3 network simulations. We include extensive threat model analyses that examine collusion and Sybil attacks on off-chain storage nodes as well as quantum computing risks, and we confirm anomaly detection performance with standardized datasets (e.g., N-BaIoT, UNSW-Sensor) using robust statistical measures. Our experiments demonstrate up to a 35 % reduction in end-to-end latency (compared to baseline PoW systems), a 40% increase in throughput (compared to baseline PoW systems), and a 70% reduction in on-chain storage overhead (compared to direct on-chain storage without IPFS and coding) while maintaining anomaly detection accuracy above 90 % under domain shifts. These performance improvements highlight the potential of our approach to enable secure, real-time monitoring in resource-constrained deployments such as remote patient health tracking, industrial automation lines, and large-scale smart city sensor networks. Comprehensive testing on platforms like Raspberry Pi 4 and ESP32 demonstrates that the framework delivers strong performance and reliability even under strict zero-trust security requirements. © 2013 IEEE.</t>
  </si>
  <si>
    <t xml:space="preserve">R321</t>
  </si>
  <si>
    <t xml:space="preserve">Key-Generation Latency and Retransmission Failure in Hybrid Post-Quantum TLS 1.3 Under Burst Packet Loss on Constrained IoT Devices</t>
  </si>
  <si>
    <t xml:space="preserve">Krishnan, R.; Malik, A.</t>
  </si>
  <si>
    <t xml:space="preserve">Learning and Analytics in Intelligent Systems</t>
  </si>
  <si>
    <t xml:space="preserve">10.1007/978-3-032-29501-9_3</t>
  </si>
  <si>
    <t xml:space="preserve">As the industry transitions to quantum-safe cryptography, hybrid post-quantum algorithms are being deployed on constrained IoT devices that communicate over lossy wireless links. An IoT device that spends a longer time generating a key share before transmitting its first packet silently exhausts the TCP retransmission budget, causing handshake failures that appear to be network errors but are caused by local computation. We present an empirical study of five TLS 1.3 key-exchange algorithms on an ESP32 across 16,000 trials spanning eight network scenarios, including a correlated burst-loss model based on the Gilbert-Elliott channel. Client-side key-generation time emerges as the dominant predictor of timeout-induced failure, with a Pearson correlation of 0.97 against the retransmission proxy rate. P-384+ML-KEM-1024 (1255 ms key generation time) fails the retransmission budget in 91 to 98% of trials, while X25519+ML-KEM-768 and ML-KEM-512 remain reliable across all scenarios. These results establish a practical deployment rule: on constrained devices, the classical component of a hybrid scheme matters more than the post-quantum parameter set, and key-generation time is a hardware-measurable pre-filter for algorithm selection before a single packet is sent. © The Author(s), under exclusive license to Springer Nature Switzerland AG 2026.</t>
  </si>
  <si>
    <t xml:space="preserve">R322</t>
  </si>
  <si>
    <t xml:space="preserve">Tree-Feistel Cipher Standard for IoT Communication System</t>
  </si>
  <si>
    <t xml:space="preserve">Alawida, M.</t>
  </si>
  <si>
    <t xml:space="preserve">10.1109/jiot.2025.3611318</t>
  </si>
  <si>
    <t xml:space="preserve">As a key application within Internet of Things (IoT) engineering systems, secure communication protocols are essential for safeguarding sensitive information during data exchanges. Conventional and lightweight ciphers provide secure communication, but they often struggle to accommodate varying data sizes effectively while maintaining strong security. To address this limitation, the Tree-Feistel Cipher Standard (TCS) is proposed, a novel encryption scheme that integrates a hierarchical tree structure, an extended Feistel framework, and a substitution-permutation network (SPN). TCS employs a 512-bit block size and a 128-bit secret key, which undergoes adaptive operations to generate level-specific subkeys. A pre-processing phase employs a one-dimensional chaotic map to dynamically generate substitution-boxes (S-boxes) and permutation tables (P-tables), ensuring high nonlinearity and randomness. Encryption begins at level 3 with 64-bit blocks and leverages XOR operations, S-box lookups, and P-tables to provide strong confusion and diffusion. Experimental results demonstrate that TCS achieves superior performance compared to classical, lightweight, and state-of-the-art ciphers in terms of encryption speed, robustness, and security. TCS is especially suited for IoT and general communication scenarios, as validated through implementations on four platforms: a standard PC, a LiDAR sensor with Raspberry Pi, and two constrained devices (Teensy 3.6 and DOIT ESP32). Practical deployment within the OPC Unified Architecture (OPC UA) protocol further confirms TCS’s applicability in diverse computational environments. © 2014 IEEE.</t>
  </si>
  <si>
    <t xml:space="preserve">R323</t>
  </si>
  <si>
    <t xml:space="preserve">Lightweight Cryptography for the Internet of Things: A Multi-Metric Experimental Assessment</t>
  </si>
  <si>
    <t xml:space="preserve">Vaz, Y.S.; Mattos, J.C.B.; Soares, R.I.</t>
  </si>
  <si>
    <t xml:space="preserve">Brazilian Symposium on Computing System Engineering, SBESC</t>
  </si>
  <si>
    <t xml:space="preserve">10.1109/sbesc68008.2025.11288889</t>
  </si>
  <si>
    <t xml:space="preserve">The increasing use of resource-constrained devices in IoT applications demands cryptographic algorithms that are both secure and efficient. This work presents a thorough comparative analysis of the most widely cited lightweight symmetric cryptographic algorithms-ASCON, XTEA, SLIM, AES-LWC, SHADOW, and PRESENT-using the original AES as a benchmark due to its proven security and adaptability in both hardware and software. The evaluation was conducted on ESP32 and Raspberry Pi Pico platforms, considering execution time, throughput, memory usage, energy consumption, avalanche effect, bit balance, and NIST statistical tests. XTEA achieved the best overall performance, combining high efficiency with full compliance with all security criteria. SLIM and AES-LWC demonstrated balanced performance across both efficiency and security. ASCON was efficient but exhibited the highest memory usage among all algorithms. SHADOW showed intermediate results, while PRESENT performed the worst, with low efficiency and failures in statistical tests. These findings provide practical guidance for selecting lightweight ciphers that meet the specific performance and security constraints of IoT applications. © 2025 IEEE.</t>
  </si>
  <si>
    <t xml:space="preserve">R324</t>
  </si>
  <si>
    <t xml:space="preserve">Implementation of Proposed Cryptography Algorithm on ESP32-Based IoT System</t>
  </si>
  <si>
    <t xml:space="preserve">Ni, L.C.; Ali, S.; Aziz, A.N.A.A.; Rashid, R.A.</t>
  </si>
  <si>
    <t xml:space="preserve">Conference Proceedings - IEEE International Conference on Advanced Telecommunication and Networking Technologies: Empowering Telecommunication Technologies for Sustainable Future, ATNT 2024</t>
  </si>
  <si>
    <t xml:space="preserve">10.1109/atnt61688.2024.10719299</t>
  </si>
  <si>
    <t xml:space="preserve">This research explores the data security of the Internet of Things (IoT), with a specific focus on designing cryptographic algorithms suitable for the resource-constrained ESP32 microcontroller. In the rapid growth of IoT, security vulnerabilities have become a concern necessitating tailored solutions to avoid generic attacks at various architectural layers. According to NIST, lightweight block ciphers especially AES-128 show their robustness under a resources-constraint environment and at the same time, ensure confidentiality, integrity, and authenticity. This project designs a lightweight block cipher cryptographic algorithm inspired by established algorithms like Advanced Encryption Standard (AES) and Data Encryption Standard (DES). It leverages encryption techniques such as key generation, XOR operations, custom-designed S-boxes, custom-designed P-boxes, and row permutation methods. Understanding the structure of ESP32, the algorithm is designed to align the process data with native word size which takes advantage of optimizing the register operation. Performance analysis was conducted to balance security and execution time. The results indicate that the algorithm yields optimal randomness and demonstrates a short execution time using four rounds of encryption. Implementation on ESP32 confirms its feasibility for Internet of Things (IoT) applications.  © 2024 IEEE.</t>
  </si>
  <si>
    <t xml:space="preserve">R325</t>
  </si>
  <si>
    <t xml:space="preserve">About one lightweight encryption algorithm ensuring the security of data transmission and communication between internet of things devices</t>
  </si>
  <si>
    <t xml:space="preserve">Atanov, S.; Seitkulov, Y.; Moldamurat, K.; Yergaliyeva, B.; Kyzyrkanov, A.; Seitbattalov, Z.</t>
  </si>
  <si>
    <t xml:space="preserve">International Journal of Electrical and Computer Engineering</t>
  </si>
  <si>
    <t xml:space="preserve">10.11591/ijece.v14i6.pp6846-6860</t>
  </si>
  <si>
    <t xml:space="preserve">In this paper, a new encryption algorithm Twine-Mersenne was developed based on the Twine algorithm with the addition of a random number generator for the dynamic generation of S-boxes. Dynamic generation of random numbers based on the Mersenne Twister helps to increase the cryptographic strength of the proposed algorithm. The algorithm we propose solves the issues of optimizing the costs of computing and energy resources of internet of things (IoT) devices, using a combination of lightweight cryptographic principles and fuzzy logic, and also provides reliable security and intelligent authentication of the mobile application user. The paper also considers the practical implementation of the proposed algorithm based on Arduino ESP32, a device with limited computing resources. In addition to this, fuzzy logic has found its practical application in the field of intelligent user authentication in developed mobile applications based on Arduino Studio for mobile cellular applications. As a result, the proposed lightweight encryption algorithm has proven itself to be an effective tool in ensuring the security of data transmission and communication between IoT devices. © 2024 Institute of Advanced Engineering and Science. All rights reserved.</t>
  </si>
  <si>
    <t xml:space="preserve">R326</t>
  </si>
  <si>
    <t xml:space="preserve">RevokAll: Hardware-Assisted Revocable Data Sharing Framework for Full Data Traffic With Rapid Deployment in Cloud-Edge</t>
  </si>
  <si>
    <t xml:space="preserve">Chang, S.; Ma, H.; Ning, J.; Li, Y.; Su, L.; Li, B.; Wang, W.</t>
  </si>
  <si>
    <t xml:space="preserve">IEEE Transactions on Information Forensics and Security</t>
  </si>
  <si>
    <t xml:space="preserve">10.1109/tifs.2025.3583490</t>
  </si>
  <si>
    <t xml:space="preserve">Secure cloud-edge data sharing has been researched recently to provide high quality on-demand data service. Attribute-based encryption (ABE) is a promising solution that achieves data confidentiality and flexible access control simultaneously. But three major issues remain when adapting ABE in cloud-edge, namely reliable user revocation, high performance on devices, and trust issues of public cloud. First, existing direct user revocation mechanisms focus on preventing a revoked user from decrypting header ciphertexts even when key exposure occurs, but ignore the payload security. Second, how to conveniently apply deployment on diverse platforms and run programs on resource-constrained devices with high efficiency is a challenge. Finally, no universal guarantee of cloud computation and management tasks, thus lazy or malicious cloud may not follow the protocol and perform improper actions on purpose. In this work, we propose a Hardware-Assisted Hybrid Fully Outsourced Revocable Attribute-Based Proxy Re-Encryption (H2O-RABPRE) scheme that supports reliable user revocation for full data traffic and hardware-assisted fully outsourced computation. Moreover, we design a hardware-assisted data-sharing framework with rapid deployment for cloud-edge, which integrates the developed SGX-MCL to protect outsourced tasks executed by cloud/edge devices against malicious behaviors and utilizes the enhanced WebAssembly runtime, WasmCrypto, a unified deployment approach for IoT devices with near-native performance. We implement the scheme on an SGX cloud server, a laptop, a Raspberry Pi, and an ESP32 board, and the results indicate that the proposed scheme is practical.  © 2005-2012 IEEE.</t>
  </si>
  <si>
    <t xml:space="preserve">R327</t>
  </si>
  <si>
    <t xml:space="preserve">A practical performance comparison of ECC and RSA for resource-constrained IoT devices</t>
  </si>
  <si>
    <t xml:space="preserve">Suarez-Albela, M.; Fernandez-Carames, T.M.; Fraga-Lamas, P.; Castedo, L.</t>
  </si>
  <si>
    <t xml:space="preserve">2018 Global Internet of Things Summit, GIoTS 2018</t>
  </si>
  <si>
    <t xml:space="preserve">10.1109/giots.2018.8534575</t>
  </si>
  <si>
    <t xml:space="preserve">One of the main concerns regarding Internet of Things (IoT) networks is the security of the communications between IoT nodes and the upper layers of the architecture. Since the vast majority of IoT nodes are constrained in terms of power consumption and computational capabilities, the security of their communications is usually lightly addressed. Thus, new IoT hardware platforms are facing this lack of security by including hardware-accelerated cryptographic capabilities. This brings the opportunity to use advanced security mechanisms such as Transport Layer Security (TLS). In this paper, two of the most used TLS authentication algorithms (i.e., ECDSA and RSA) are compared using a resource-constrained IoT node based on the ESP32 SoC (System-on-Chip). The tests are driven by the concept of security level, allowing for a fair comparison in terms of the computational power required to break each cryptographic algorithm. Specifically, security levels from 80 to 192 were tested. A 512-byte JSON file was downloaded 100 consecutive times while measuring both energy consumption and the average time per transaction. The results show that, although ECDSA outperforms RSA in all the performed tests, real-world scenario testing is needed to determine which security configuration is the best for a hardware platform. Software optimizations and implementations could lead to scenarios where higher security level alternatives outperform simpler and theoretically lighter ones in terms of energy consumption and data throughput. Specifically, the obtained results show that the curve secp256r1 outperforms the curve secp224r1, while providing a higher security level, due to optimizations made on the libraries implementing the ECC operations. © 2018 IEEE.</t>
  </si>
  <si>
    <t xml:space="preserve">R328</t>
  </si>
  <si>
    <t xml:space="preserve">DIDAuth-IoTFW: Decentralized firmware authentication for smart home IoT devices using verifiable credentials</t>
  </si>
  <si>
    <t xml:space="preserve">Wijesundara, W.M.A.B.; Lee, J.-S.; Aloupogianni, E.; Tith, D.; Suzuki, H.; Obi, T.</t>
  </si>
  <si>
    <t xml:space="preserve">10.1016/j.iot.2025.101788</t>
  </si>
  <si>
    <t xml:space="preserve">Rapid proliferation of smart home IoT devices has intensified the demand for secure, scalable, and autonomous firmware authentication mechanisms. Traditional centralized solutions face challenges related to privacy concerns, limited scalability, and vulnerability to single point of failure. In this paper, we propose DIDAuth-IoTFW, a novel decentralized identity and firmware authentication framework that uniquely integrates Ethereum Layer-2 Arbitrum, InterPlanetary File System (IPFS), and W3C-compliant Decentralized Identifiers (DIDs) and Verifiable Credentials (VCs). DIDAuth-IoTFW provides a complete firmware authentication life cycle, from decentralized identity registration to real-time, on-chain verifiable revocation. While enabling autonomous, cryptographic verification directly on resource-constrained IoT devices and ensuring reliable performance even when gateways are compromised or unavailable. Our proof-of-concept implementation on ESP32 and Raspberry Pi achieved complete resistance to replay, forgery, and revocation threats with verification consistently under 1.2 s. Compared to prior work, DIDAuth-IoTFW uniquely combines firmware–VC hash binding, contract binding that prevents cross-registry replay, and device-side enforcement resilient to gateway compromise. Experimental results indicate a robust, privacy-preserving, and scalable alternative to centralized firmware-update pipelines for smart-home IoT. © 2025 The Author(s)</t>
  </si>
  <si>
    <t xml:space="preserve">R329</t>
  </si>
  <si>
    <t xml:space="preserve">On-sensor Stream Cipher Encryption for Protecting Smart City Sensor Data directly on Resource-Constrained IoT-Sensors</t>
  </si>
  <si>
    <t xml:space="preserve">Seedorf, J.; Rawal, D.; Hamann, M.; Seid, S.; Schneider, K.; Anh, V.D.; Haag, M.; Milla, F.; Altun, Y.E.</t>
  </si>
  <si>
    <t xml:space="preserve">International Archives of the Photogrammetry, Remote Sensing and Spatial Information Sciences - ISPRS Archives</t>
  </si>
  <si>
    <t xml:space="preserve">10.5194/isprs-archives-xlviii-4-w16-2025-105-2025</t>
  </si>
  <si>
    <t xml:space="preserve">This paper presents a comparative analysis of the DRACO stream cipher implemented in both C++ and Rust across three microcontroller platforms: ESP32, ESP8266, and Raspberry Pi Pico. DRACO, a lightweight cipher designed for constrained environments, was evaluated in terms of performance, memory efficiency, and initialization behavior. To ensure reliable and repeatable results, a standardized benchmarking framework was developed, including automated testing, key/IV configuration variants, and statistical analysis of execution times. In addition to synthetic benchmarks, the evaluation incorporated representative smart city data sets, simulating real-world sensor inputs to reflect practical encryption workloads. Performance metrics—including keystream generation, encryption, and algorithm initialization—were collected via serial output and processed using Python and visualization tools.&lt;/p&gt; &lt;p&gt;Results show that both implementations perform consistently across varying keystream lengths, with Rust demonstrating faster execution at very short lengths, and C++ slightly outperforming Rust at longer lengths. The study also discusses the implementation challenges and trade-offs between security, compiler support, and platform compatibility. Findings highlight that both languages are suitable for embedded cryptographic applications, with Rust offering stronger language safety guarantees and C++ providing broader microcontroller support. This work further emphasizes the importance of lightweight encryption in smart city sensor networks, where securing real-Time, sensitive data is critical to privacy, reliability, and urban infrastructure resilience. © 2025 Jan Seedorf et al.</t>
  </si>
  <si>
    <t xml:space="preserve">R330</t>
  </si>
  <si>
    <t xml:space="preserve">OTA Firmware Updates for LoRaWAN Using Blockchain</t>
  </si>
  <si>
    <t xml:space="preserve">Mtetwa, N.S.; Sibeko, N.; Tarwireyi, P.; Abu-Mahfouz, A.M.</t>
  </si>
  <si>
    <t xml:space="preserve">2020 2nd International Multidisciplinary Information Technology and Engineering Conference, IMITEC 2020</t>
  </si>
  <si>
    <t xml:space="preserve">10.1109/imitec50163.2020.9334108</t>
  </si>
  <si>
    <t xml:space="preserve">LoRa WAn is one of the LPWAN technologies that has become popular in both industries and research. LoRaWAN aims to provide long-range communication and empowers low-powered devices to last for years in the field. LoRaWAN relies on the symmetric cryptography to provide end-to-end encryption. Even though LoRaWAN relies on symmetric cryptography, there are recent works that try to enhance security of LoRaWAN by incorporating technologies like Blockchain. Blockchain is a decentralized peer-to-peer network that provides tamperproof and immutability of data. This paper proposes a Blockchain-based firmware update mechanism to enhance firmware update in LoRaWAN as well as managing the update process. This mechanism aims to provide updates by ensuring authenticity, and integrity of the firmware. The mechanism focuses more on devices that are too constrained in resources, hence for that purpose we evaluated the cost involved in some cryptographic operations taken to ensure security during firmware updates. We conclude that the approach is feasible for constrained devices in LoRaWAN network by evaluating the memory usage of the cryptographic operation used by the end device. © 2020 IEEE.</t>
  </si>
  <si>
    <t xml:space="preserve">R331</t>
  </si>
  <si>
    <t xml:space="preserve">Secure LoRa Wireless Communication Device with Advanced Encryption</t>
  </si>
  <si>
    <t xml:space="preserve">Suryawanshi, R.; Swami, S.; Shinde, S.; Pardeshi, S.; Pawar, S.</t>
  </si>
  <si>
    <t xml:space="preserve">2025 International Conference on Future Technologies, ICFT 2025</t>
  </si>
  <si>
    <t xml:space="preserve">10.1109/icft66708.2025.11336368</t>
  </si>
  <si>
    <t xml:space="preserve">This paper presents a secure and energy-efficient LoRa communication framework that integrates AES-GCM encryption and Elliptic Curve Cryptography (ECC) key exchange for robust protection against replay and MITM attacks. The system, implemented on ESP32 with a TFT-based monitoring interface and renewable energy integration, addresses the challenges of secure communication in disaster-prone and resource-constrained IoT deployments. Real-world experiments demonstrate up to 96% packet delivery ratio, reduced latency (120-150 ms), and 15-20% lower power consumption compared to baseline LoRa setups, with reliable communication maintained up to 1500 m. The proposed system balances long-range connectivity, strong security, and low-power operation, offering a practical solution for future IoT applications. © 2025 IEEE.</t>
  </si>
  <si>
    <t xml:space="preserve">R332</t>
  </si>
  <si>
    <t xml:space="preserve">Deep reinforcement learning-optimized adaptive authenticated encryption and dynamic transmission control for secure LoRaWAN IoT communication</t>
  </si>
  <si>
    <t xml:space="preserve">Abinaya, G.; Sundaravadivel, P.; Vasudevan, S.; Muthulakshmi, K.</t>
  </si>
  <si>
    <t xml:space="preserve">Discover Internet of Things</t>
  </si>
  <si>
    <t xml:space="preserve">10.1007/s43926-026-00515-3</t>
  </si>
  <si>
    <t xml:space="preserve">The growth of Internet of Things (IoT) devices in the industrial, environmental and urban sectors has raised the need for secure, energy efficient, and adaptive communication solutions. The LoRa (Long Range) technology combined with the LoRaWAN protocol stack is very promising due to its low power consumption, ability to operate far away, and scalability in resource-constrained deployment. The static encryption keys and fixed transmission parameters of conventional LoRaWAN implementations are, however, extremely vulnerable to eavesdropping, replay attacks, key compromise and brute force attacks. At the same time, the spreading factor, transmission power and coding rates are not matched to the dynamic channel characteristics of the wireless channel, which results in high consumption of energy, high packet loss rate and poor quality of service. This paper introduces a Deep Reinforcement Learning (DRL)-based framework that combines the adaptive use of Authenticated Encryption with Associated Data (AEAD) and the dynamic optimization of transmission with LoRaWAN-based IoT systems. The proposed architecture utilizes a Dueling Deep Q-Network (DDQN) agent which optimizes the entropy parameters for key generation and LoRa transmission parameters from real-time observations of the wireless channel, accompanied by security threat indices. Dynamic encryption keys are built from hardware sourced entropy (ADC thermal noise, clock-cycle jitter) and monotonic timestamps, resulting in key matrices which are unique for each session, and have measured entropy of greater than 7.95 bits per byte. A plaintext randomization pre-processing layer is developed based on eigenvectors to enhance the plaintext randomization before authenticated AES-GCM encryption, which offers confidentiality, integrity and authenticity guarantees. The problem of optimising spreading factor (SF), transmission power (TP), and coding rate (CR) with the aim of maximising packet delivery ratio, minimising energy consumption, latency and key entropy is formalised using a multi-objective reward function through a Markov Decision Process (MDP). The hardware validation is conducted on 20 real-time transmission cycles over a controlled 15-metre line-of-sight range, with 500 training episodes; results beyond this range are analytical projections rather than direct hardware measurements, as detailed in Sect. 6.1, and the results are: 93.7–96.5% mean data-recovery rate across the 20 transmission cycles (the percentage of transmitted sensor readings correctly decrypted and matched at the receiver), packet delivery ratio was improved by 27.8%, energy consumption was reduced by 32.5%, and the measured replay acceptance rate was zero across all tested replay scenarios (Table 2). The proposed integrated approach outperforms the other methods, including static LoRaWAN, AES-128 pre-shared key, CRC-only verification, and RL-only transmission optimization, in terms of all performance metrics evaluated on this single-node, 20-cycle, 15-metre hardware trial; broader statistical validation across repeated trials and multiple deployment scenarios is identified as future work (Sect. 8.1). © The Author(s) 2026.</t>
  </si>
  <si>
    <t xml:space="preserve">R333</t>
  </si>
  <si>
    <t xml:space="preserve">Clock frequency impact on the performance of high-security cryptographic cipher suites for energy-efficient resource-constrained IoT devices</t>
  </si>
  <si>
    <t xml:space="preserve">Suárez-Albela, M.; Fraga-Lamas, P.; Castedo, L.; Fernández-Caramés, T.M.</t>
  </si>
  <si>
    <t xml:space="preserve">10.3390/s19010015</t>
  </si>
  <si>
    <t xml:space="preserve">Modern Internet of Things (IoT) systems have to be able to provide high-security levels, but it is difficult to accommodate computationally-intensive cryptographic algorithms on the resource-constrained hardware used to deploy IoT end nodes. Although this scenario brings the opportunity for using advanced security mechanisms such as Transport Layer Security (TLS), several configuration factors impact both the performance and the energy consumption of IoT systems. In this study, two of the most used TLS authentication algorithms (ECDSA and RSA) were compared when executed on a resource-constrained IoT node based on the ESP32 System-on-Chip (SoC), which was tested at different clock frequencies (80, 160 and 240 MHz) when providing different security levels (from 80 to 192 bits). With every tested configuration, energy consumption and average time per transaction were measured. The results show that ECDSA outperforms RSA in all performed tests and that certain software implementations may lead to scenarios where higher security-level alternatives outperform cryptosystems that are theoretically simpler and lighter in terms of energy consumption and data throughput. Moreover, the performed experiments allow for concluding that higher clock frequencies provide better performance in terms of throughput and, in contrast to what may be expected, less energy consumption. © 2018 by the authors. Licensee MDPI, Basel, Switzerland.</t>
  </si>
  <si>
    <t xml:space="preserve">R334</t>
  </si>
  <si>
    <t xml:space="preserve">A Compact Communication Platform Based on FX.25 Protocol with Forward-Error-Correction and AES-256 Encryption</t>
  </si>
  <si>
    <t xml:space="preserve">Kiričenko, A.; Kos, V.</t>
  </si>
  <si>
    <t xml:space="preserve">2026 25th International Symposium INFOTEH-JAHORINA, INFOTEH 2026 - Proceedings</t>
  </si>
  <si>
    <t xml:space="preserve">10.1109/infoteh68759.2026.11477667</t>
  </si>
  <si>
    <t xml:space="preserve">AX.25, a packet radio communication protocol derived from X.25 and now half a century old, was once the definitive standard for amateur radio digital communications. Today, it is practically abandoned due to its several critical limitations: the absence of Forward Error Correction (FEC), high protocol overhead, lack of native encryption, and inefficiencies in connectionless mode. Yet, a substantial infrastructure of high-value packet radio equipment (transceivers, antennas, modems) remains operational and could be repurposed for specific applications (such as telemetry or nano-satellites) provided the protocol engine is modernized. Two decades ago, the improved FX.25 protocol was proposed as a successor to address these deficiencies. However, as no chip manufacturer has produced dedicated hardware for FX.25 standard, this paper presents a complete software-based implementation. The software-implemented packet/protocol engine incorporates: correlation tag generation and detection, Reed-Solomon FEC, data randomization (scrambling), and AES-256 encryption/decryption. All of these functionalities are embedded within a resource-constrained 8-bit RISC microcontroller, ensuring a lightweight software footprint. The designed corresponding hardware device incorporates an FSK modem, control logic for transceiver management and a user interface. The proposed system was field-tested on 433 MHz frequency band, and its performance was evaluated against modern LoRa communication system of comparable transmission power and energy requirements. © 2026 IEEE.</t>
  </si>
  <si>
    <t xml:space="preserve">R335</t>
  </si>
  <si>
    <t xml:space="preserve">Anonymous Command Authorization for IoT Devices Using Zero-Knowledge Proofs</t>
  </si>
  <si>
    <t xml:space="preserve">Mahdi, M.; Alqattan, A.; Mohammed, A.</t>
  </si>
  <si>
    <t xml:space="preserve">Proceedings - 2026 22nd International Conference on Distributed Computing in Smart Systems and the Internet of Things, DCOSS-IoT 2026</t>
  </si>
  <si>
    <t xml:space="preserve">10.1109/dcoss-iot69657.2026.00013</t>
  </si>
  <si>
    <t xml:space="preserve">In many mission-critical settings, securing distributed IoT fleets demands unlinkable authorization. This allows multiple authorized controllers to command devices without linking commands to specific identities, thus preventing operator attribution if a device is captured. While traditional mutual authentication mechanisms exposes identity, privacy-preserving schemes such as ring or group signatures often impose prohibitive memory overheads on constrained hardware. This work presents a lightweight, privacy-preserving, end-to-end implementation of a zkSNARK-based anonymous command authorization framework optimized for commodity microcontrollers such as the ESP32 and ESP32-S3. The system enables verifiable yet anonymous command transmission, allowing an IoT node to confirm that a command originates from an authorized controller without revealing the controller's identity or any sensitive metadata. Unlike previous zero-knowledge-based implementations that rely on powerful Single Board Computers (SBCs), we propose a resource-asymmetric architecture where computationally intensive proof generation is offloaded to capable controllers, while verification is made efficient for resource-constrained devices using Groth16 zero-knowledge proofs combined with Merkle tree membership proofs. A prototype implementation on ESP32-S3 microcontrollers (240 MHz, 512 KB RAM) achieves on-device proof verification in approximately 2.5 seconds with 9,948 R1CS constraints, yielding asymptotically constant verifier storage compared to the linear growth of traditional ring signature schemes (e.g., 32 B versus 8 KB, a ×256 reduction in storage for 256 authorized controllers), constant-time verification independent of the authorized set size, and minimal energy consumption (1.74 J per proof). These results demonstrate our scheme's applicability to privacy-preserving command authorization for real-time control of autonomous systems. © 2026 IEEE.</t>
  </si>
  <si>
    <t xml:space="preserve">R336</t>
  </si>
  <si>
    <t xml:space="preserve">TinyML Enabled Passwordless Web Authentication Using On-Device Biometric Inference on Resource Constrained Hardware</t>
  </si>
  <si>
    <t xml:space="preserve">Thota, Y.R.; Pandya, J.K.</t>
  </si>
  <si>
    <t xml:space="preserve">Proceedings - 2026 IEEE 12th Conference on Big Data Security on Cloud, BigDataSecurity 2026</t>
  </si>
  <si>
    <t xml:space="preserve">10.1109/bigdatasecurity69476.2026.00014</t>
  </si>
  <si>
    <t xml:space="preserve">Password-based authentication mechanisms remain vulnerable to phishing, credential reuse, and centralized data breaches. While biometric authentication improves usability and security, most existing solutions rely on cloud-based inference and server-side biometric storage, raising privacy, latency, and scalability concerns. In this paper, we present a fully passwordless web authentication system enabled by Tiny Machine Learning (TinyML), where biometric inference is performed entirely on-device using a resource-constrained microcontroller. Our system deploys a quantized face recognition model on an ESP32-CAM, enabling real-time identity verification without transmitting raw biometric data to the cloud. Upon successful local authentication, the edge device securely triggers a JSON Web Token (JWT)-based session establishment with a web backend, enabling seamless access to protected web resources. We evaluate the proposed system in terms of inference latency, memory footprint, authentication accuracy, and end-to-end authentication delay. Experimental results demonstrate that secure, privacy-preserving web authentication can be achieved using on-device TinyML inference with minimal computational and memory overhead, making the approach suitable for embedded and IoT deployments.  © 2026 IEEE.</t>
  </si>
  <si>
    <t xml:space="preserve">R337</t>
  </si>
  <si>
    <t xml:space="preserve">Secure Offline Smart Office Automation System Using ESP32 and Bluetooth Control Architecture</t>
  </si>
  <si>
    <t xml:space="preserve">Al-Shareeda, M.A.; Jafer, A.N.; Hashem, M.T.; Fajr, M.S.</t>
  </si>
  <si>
    <t xml:space="preserve">Journal of Cyber Security and Risk Auditing</t>
  </si>
  <si>
    <t xml:space="preserve">10.63180/jcsra.thestap.2024.1.2</t>
  </si>
  <si>
    <t xml:space="preserve">This paper describes the development and deployment of an affordable and secure smart office automation system which is completely offline and it use Bluetooth technology and ESP32 microcontroller. In situations where internet access is limited or security is of utmost concern, the system provides an app-based control over the office devices like lighting, blinds, door access and alert systems, in real-time. The design eliminates dependence on the cloud, which in turn mitigates security threats from the outside, meanwhile, local Bluetooth communication shortens response time and cuts power consumption. Primary security requirements are direct device linking, local command control and encryption-capable communication protocols. Experimental results substantiate quick response of devices (&lt;150) ms, low power consumption and robustness in the indoor range of Bluetooth (10 m). The device is designed to be modular to enable extension of the system itself including however not limited to environmental sensors, GUI based mobile applications and cutting edge authentication protocols. This paper presents proof to ant small-to-medium sized enterprises about the availability of a secure and offline smart office system which is cost-effective, user-friendly and immune against security threats from outside. © 2024, Smart Technologies Academic Press. All rights reserved.</t>
  </si>
  <si>
    <t xml:space="preserve">R338</t>
  </si>
  <si>
    <t xml:space="preserve">Securing Medical Images on IoT Devices using High Speed Scrambling and Pixel Adaptive Diffusion</t>
  </si>
  <si>
    <t xml:space="preserve">Nandhitha, S.; Ravichandran, D.; Amirtharajan, R.</t>
  </si>
  <si>
    <t xml:space="preserve">Journal of Physics: Conference Series</t>
  </si>
  <si>
    <t xml:space="preserve">10.1088/1742-6596/3191/1/012092</t>
  </si>
  <si>
    <t xml:space="preserve">In the era of digital healthcare, the secure transmission and storage of medical images are paramount to preserving patient privacy and complying with data protection regulations. This project presents a lightweight and efficient encryption framework designed for Internet of Things (IoT)devices, specifically the ESP32 microcontroller. The proposed method utilises high-speed scrambling and pixel-adaptive diffusion techniques to effectively encrypt medical images without compromising performance on resource-constrained hardware. Medical images are first converted into binary data and transferred to the ESP32 using the SPI Flash File System (SPIFFS). Once on the device, the data undergoes a two-phase encryption process involving rapid pixel scrambling followed by adaptive diffusion based on pixel intensity and neighbourhood dynamics. The encrypted binary output is then reconstructed into an image format suitable for secure storage and transmission. This work highlights the feasibility of on-device medical image encryption and its relevance for enhancing data security in modern telemedicine applications. © 2026 Institute of Physics Publishing. All rights reserved.</t>
  </si>
  <si>
    <t xml:space="preserve">R339</t>
  </si>
  <si>
    <t xml:space="preserve">A FAST, PERFORMANT, SECURE DISTRIBUTED TRAINING FRAMEWORK FOR LLM</t>
  </si>
  <si>
    <t xml:space="preserve">Huang, W.; Wang, Y.; Cheng, A.; Zhou, A.; Yu, C.; Wang, L.</t>
  </si>
  <si>
    <t xml:space="preserve">ICASSP, IEEE International Conference on Acoustics, Speech and Signal Processing - Proceedings</t>
  </si>
  <si>
    <t xml:space="preserve">10.1109/icassp48485.2024.10446717</t>
  </si>
  <si>
    <t xml:space="preserve">The distributed (federated) LLM is an important method for co-training the domain-specific LLM using siloed data. However, maliciously stealing model parameters and data from the server or client side has become an urgent problem to be solved. In this paper, we propose a secure distributed LLM based on model slicing. In this case, we deploy the Trusted Execution Environment (TEE) on both the client and server side, and put the fine-tuned structure (LoRA or embedding of P-tuning v2) into the TEE. Then, secure communication is executed in the TEE and general environments through lightweight encryption. In order to further reduce the equipment cost as well as increase the model performance and accuracy, we propose a split fine-tuning scheme. In particular, we split the LLM by layers and place the latter layers in a server-side TEE (the client does not need a TEE). We then combine the proposed Sparsification Parameter Fine-tuning (SPF) with the LoRA part to improve the accuracy of the downstream task. Numerous experiments have shown that our method guarantees accuracy while maintaining security. © 2024 IEEE.</t>
  </si>
  <si>
    <t xml:space="preserve">R340</t>
  </si>
  <si>
    <t xml:space="preserve">LCE-AIoT: A lightweight cryptographic algorithm for resource-constrained AIoT devices</t>
  </si>
  <si>
    <t xml:space="preserve">Kumar, M.; Ahmed, B.; Shuja, M.; Dhiman, K.; Quteishat, A.M.A.; Qtaishat, A.; Bhardwaj, V.</t>
  </si>
  <si>
    <t xml:space="preserve">Journal of Discrete Mathematical Sciences and Cryptography</t>
  </si>
  <si>
    <t xml:space="preserve">10.47974/jdmsc-2467</t>
  </si>
  <si>
    <t xml:space="preserve">Artificial Intelligence of Things (AIoT) combines Artificial Intelligence (AI) and Internet of Things (IoT) to enable intelligent, real-time decision-making in applications such as healthcare, smart agriculture, and industrial automation. However, ensuring data security in AIoT environments is challenging due to the limited computational resources, memory, and energy constraints of edge devices. Traditional cryptographic algorithms are often too heavy for such settings, while existing lightweight schemes may lack adequate security. This paper proposes LCE-AIoT, a lightweight cryptographic framework based on an optimized version of the Ascon algorithm. Designed for 128-bit authenticated encryption, LCE-AIoT reduces computational overhead by minimizing permutation rounds and memory usage, making it suitable for microcontrollers like ESP32 and STM32. The framework supports both pre-shared and ECC-based key exchange and integrates seamlessly with lightweight IoT operating systems such as Contiki-NG and TinyOS. Experimental results show that LCE-AIoT achieves superior performance compared to existing lightweight algorithms including PRESENT, SIMON, SPECK, and standard Ascon, offering lower execution time, reduced memory footprint, better energy efficiency, and higher throughput. This makes it ideal for secure, low-power AIoT applications. Future enhancements include post-quantum resilience, hardware acceleration, and blockchain integration, ensuring the framework’s adaptability to emerging intelligent systems. © TARU PUBLICATIONS.</t>
  </si>
  <si>
    <t xml:space="preserve">R341</t>
  </si>
  <si>
    <t xml:space="preserve">REALISE-IoT: RISC-V-Based Efficient and Lightweight Public-Key System for IoT Applications</t>
  </si>
  <si>
    <t xml:space="preserve">Mao, G.; Liu, Y.; Dai, W.; Li, G.; Zhang, Z.; Lam, A.H.F.; Cheung, R.C.C.</t>
  </si>
  <si>
    <t xml:space="preserve">10.1109/jiot.2023.3296135</t>
  </si>
  <si>
    <t xml:space="preserve">LoRa is a promising choice for deploying an IoT network due to its lightweight feature and the extensive support by LoRa Alliance. However, as a fundamental part of LoRa, the typical LoRaWAN protocol confronts severe security challenges because it insecurely utilizes AES-128 to support the low-cost feature. In this article, we propose a systematic solution that is compatible with LoRaWAN for IoT applications. We extend the standard LoRaWAN protocol with public-key infrastructures. Public-key features like key exchange and authentication are supported by lightweight hardware implementations of SHA-2, ECDH, EdDSA, and TRNG. A lightweight RISC-V processor with a security coprocessor is implemented and verified using FPGA technology. The security protocol and the prototype hardware system are validated and evaluated on practical applications from our industrial partner. The prototyped development board consumes a static power of 0.116 W and a dynamic power of 0.206 W. The proposed system can achieve a $5.6\times $ - $144.7\times $ speed up and reduce memory usage by $2.4\times $ - $12.3\times $ for security computations.  © 2014 IEEE.</t>
  </si>
  <si>
    <t xml:space="preserve">R342</t>
  </si>
  <si>
    <t xml:space="preserve">Extreme Edge Computing for Secure and Private Multimodal Biometric Identification in Intelligent IoT Systems</t>
  </si>
  <si>
    <t xml:space="preserve">de la Torre, J.A.; Rincón, F.; Escolar, S.; Caruso, A.; Caba, J.; Barba, J.</t>
  </si>
  <si>
    <t xml:space="preserve">10.3390/s26123756</t>
  </si>
  <si>
    <t xml:space="preserve">The exponential growth of Internet of Things (IoT) ecosystems is driving a paradigm shift from centralized cloud computing towards decentralized architectures to mitigate latency and bandwidth constraints. While edge computing addresses some of these challenges, data transmission to local gateways still raises critical security and privacy concerns. This study explores the Compute Continuum by pushing intelligence to the extreme edge using TinyML. We propose a secure, privacy-preserving multimodal biometric authentication system designed for resource-constrained embedded devices. Our solution implements a hierarchical processing chain: an ultra-lightweight person-detection filter acts as an intelligent wake-up mechanism, followed by robust facial and voice authentication modules. Operating as a strict hierarchical pipeline, the system achieves a combined False Acceptance Rate (FAR) of just 0.12%. Experimental results on an ESP32 microcontroller demonstrate exceptional energy efficiency, requiring only 0.15 J per inference cycle. This allows the system to operate autonomously for over 39 h of continuous inference on a standard 600 mAh battery, proving the viability of standalone, privacy-by-design biometric sensors in intelligent IoT environments. © 2026 by the authors.</t>
  </si>
  <si>
    <t xml:space="preserve">R343</t>
  </si>
  <si>
    <t xml:space="preserve">A Security Analysis and Lightweight Hardening of the Authentication Chains Protocol for the Internet of Things</t>
  </si>
  <si>
    <t xml:space="preserve">Byeon, H.</t>
  </si>
  <si>
    <t xml:space="preserve">International Journal of Safety and Security Engineering</t>
  </si>
  <si>
    <t xml:space="preserve">10.18280/ijsse.160114</t>
  </si>
  <si>
    <t xml:space="preserve">The Internet of Things (IoT) relies on lightweight authentication protocols for resource-constrained devices. The Authentication Chains (AC) protocol, inspired by blockchain concepts, offers a chained-token mechanism for efficient and scalable device authentication. However, its security properties under practical deployment conditions, characterized by imperfect synchronization and potential device compromise, are not yet fully understood. This paper presents a comprehensive security analysis of the AC protocol and proposes lightweight countermeasures to mitigate identified vulnerabilities. We first formalize the protocol and a realistic attacker model encompassing replay, partial device exposure, and verifier state rollback capabilities. Through systematic analysis, we uncover critical weaknesses, including timestamp manipulation, replay-based impersonation, rollback-enabled chain reuse, and identity linkability. To address these flaws, we introduce an enhanced AC variant incorporating nonce-bound chaining, bounded timestamp freshness, identifier pseudonymization, and implicit revocation hints. We validate our findings and the proposed enhancements through a Python-based testbed comprising Raspberry Pi 4B and ESP32 devices communicating over Message Queuing Telemetry Transport (MQTT) and Constrained Application Protocol (CoAP). Experimental results show that the enhanced protocol improves replay detection from 42 to 100, increases impersonation resistance from 57 to 100, and reduces tracking risk by approximately 96. These gains are achieved with modest overhead: authentication latency increases from 0.18 ms to 0.29 ms, per-device memory usage from 12.3 KB to 14.7 KB, and token size from 54 to 68 bytes. The results indicate that blockchain-inspired designs must be carefully adapted to imperfect real-world conditions. The proposed hardening measures substantially strengthen the AC protocol while preserving its lightweight character for secure and privacy-aware IoT deployments. © 2026 The author. This article is published by IIETA and is licensed under the CC BY 4.0 license (http://creativecommons.org/licenses/by/4.0/).</t>
  </si>
  <si>
    <t xml:space="preserve">R344</t>
  </si>
  <si>
    <t xml:space="preserve">ECG-Fingerprint-Based Key Generation in Wearable Biomedical Systems with Real-time Edge Biosignal Processing</t>
  </si>
  <si>
    <t xml:space="preserve">Rozlomii, I.; Naumenko, S.; Melnyk, O.</t>
  </si>
  <si>
    <t xml:space="preserve">Proceedings - IEEE International Conference on Electronics and Nanotechnology, ELNANO</t>
  </si>
  <si>
    <t xml:space="preserve">10.1109/elnano63396.2026.11601666</t>
  </si>
  <si>
    <t xml:space="preserve">This paper presents a model for cryptographic key generation based on ECG-fingerprint, designed for wearable biomedical systems with real-time edge processing of biosignals. The proposed architecture integrates a physiological biometric source with lightweight symmetric encryption algorithms, eliminating the need to store or transmit raw biosignals. The system performs the entire processing cycle from ECG acquisition to biometric vector extraction, key generation, and encryption - locally on edge devices such as STM32 or ESP32-S3 microcontrollers. Feature vectors are transformed into stable binary fingerprints using fuzzy correction mechanisms to ensure key reproducibility under physiological changes, noise, and motion artifacts. The keys are integrated into ASCON, TinyJAMBU, and PHOTON-Beetle lightweight cryptographic protocols. Experimental evaluation demonstrated high entropy, strong inter-user differentiation, and real-time performance with minimal power and memory consumption. The approach is robust against spoofing, replay, and template inversion attacks, making it suitable for secure data exchange in personalized cardiomonitoring and medical IoT scenarios. © 2026 IEEE.</t>
  </si>
  <si>
    <t xml:space="preserve">R345</t>
  </si>
  <si>
    <t xml:space="preserve">A Comprehensive Review of Centralized MPPT in Photovoltaic Systems: Robust Control and IoT-Driven Integration</t>
  </si>
  <si>
    <t xml:space="preserve">Abdulazeez Ahmed, W.; Sharif, M.A.</t>
  </si>
  <si>
    <t xml:space="preserve">Journal of Nanostructures</t>
  </si>
  <si>
    <t xml:space="preserve">10.22052/jns.2026.02.039</t>
  </si>
  <si>
    <t xml:space="preserve">Photovoltaic plants have a major efficiency loss due to centralized maximum power point tracking (CMPPT) systems which are inefficient when under partial shading or in extreme environmental conditions, especially in desert areas where dust deposition, temperature extremes and grid instability are synergistic. We used Scopus and Web of Science to search and identify 89 hardware-validated studies included in PRISMA 2020 (20232026). Only studies that reported experimental validation, quantitative measures with defined partial shading and central architecture implementation at this moment were included. A modified AMSTAR-2 tool was used to assess methodological quality and performance across control paradigms was synthesized using a weighted meta-analysis. ADRC reached statistically significant higher tracking efficiency (97.8% +1.2) and settling time (42.3 ms) in dust accumulation greater than 5g/m 2, compared to metaheuristic methods (p = 0.008). More importantly, the 86.5 percent of the studies reviewed had no field validation to combined stressors of the Iraqi desert and laboratory predictions of combined stressors overestimated actual-world performance by 2.3-4.1 times. Hybrid algorithms with greater than 120 kFLOPs would have to be implemented in FPGA which would increase bill-of-materials by an extra 10/string and create no gain in energy yield (less than 1.5%). CMPPT design to make Deployment-ready should focus on hardware-conscious algorithms that can run on low-cost microcontrollers (e.g. STM32F4, ESP32-S3), edge-tests based lightweight security (&lt;10 ms authentication overhead) and field validation with combined environmental-electrical conditions, not simulator-only benchmarks. These principles are directly related to the scalable adoption of solar in resource-constrained areas in line with SDG 7. © This work is licensed under the Creative Commons Attribution 4.0 International License. To view a copy of this license, visit http://creativecommons.org/licenses/by/4.0/.</t>
  </si>
  <si>
    <t xml:space="preserve">R346</t>
  </si>
  <si>
    <t xml:space="preserve">Efficient Cryptographic Configurations and Lightweight Communication Protocols for Secure Smart Home Systems</t>
  </si>
  <si>
    <t xml:space="preserve">Upadhyay, N.K.; Sudhakar, P.; Kumar, V.</t>
  </si>
  <si>
    <t xml:space="preserve">2025 3rd International Conference on Communication, Security, and Artificial Intelligence, ICCSAI 2025</t>
  </si>
  <si>
    <t xml:space="preserve">10.1109/iccsai64074.2025.11063770</t>
  </si>
  <si>
    <t xml:space="preserve">Smart home technologies have advanced rapidly. It is reshaping everyday life through interconnected devices that collect and exchange sensitive data. However, this seamless connectivity poses substantial security and privacy Challenges. Most of the smart home devices are not equipped with sufficient computational power to support traditional cryptographic methods. This research evaluates and analyzes the efficiency of 4 cryptographic algorithms namely AES-128, ChaCha20, RC4 and Twofish. It is also assessed on 4 popular smart home devices such as Arduino Nano 33 IoT, ESP32-C3, Raspberry Pi Zero W and NVIDIA Jetson Nano. Power consumption, encryption delay, data overhead and encryption duration were analyzed using 2 protocols namely Hypertext Transfer Protocol (HTTP) and Message Queuing Telemetry Transport (MQTT) protocols in secure communication scenarios. The findings revealed ChaCha20 was well-suited for constrained devices, whereas AES-128 confirmed strong performance on more powerful boards. MQTT showed lower latency than HTTP but relied more on static key management to maintain optimal security. The research underscores the trade-offs between security and performance. Also, it offers practical findings for choosing cryptographic configurations in smart home environments. These results guide researches in creating secure, energy-efficient and scalable solutions exactly suited for smart home applications.  © 2025 IEEE.</t>
  </si>
  <si>
    <t xml:space="preserve">R347</t>
  </si>
  <si>
    <t xml:space="preserve">Performance evaluation of Attribute-Based Encryption on constrained IoT devices</t>
  </si>
  <si>
    <t xml:space="preserve">Perazzo, P.; Righetti, F.; La Manna, M.; Vallati, C.</t>
  </si>
  <si>
    <t xml:space="preserve">10.1016/j.comcom.2021.02.012</t>
  </si>
  <si>
    <t xml:space="preserve">The Internet of Things (IoT) is enabling a new generation of innovative services based on the seamless integration of smart objects into information systems. This raises new security and privacy challenges that require novel cryptographic methods. Attribute-Based Encryption (ABE) is a type of public-key encryption that enforces a fine-grained access control on encrypted data based on flexible access policies. The feasibility of ABE adoption in fully-fledged computing systems, i.e., smartphones or embedded systems, has been demonstrated in recent works. In this paper, we consider IoT devices characterized by strong limitations in terms of computing, storage, and power. Specifically, we assess the performance of ABE in typical IoT constrained devices. We evaluate the performance of three representative ABE schemes configured considering the worst-case scenario on two popular IoT platforms, namely ESP32 and RE-Mote. Our results show that, if we assume to employ up to 10 attributes in ciphertexts and to leverage hardware cryptographic acceleration, then ABE can indeed be adopted on devices with very limited memory and computing power, while obtaining a satisfactory battery lifetime. In our experiments, as also performed in other works in the literature, we consider only the worst-case configuration, which, however, might not be completely representative of the real working conditions of sensors employing ABE. For this reason, we complete our evaluation by proposing a novel benchmark method that we used to complement the experiments by evaluating the average performance. We show that by always considering the worst case, the current literature significantly overestimates the processing time and the energy consumption. © 2021 Elsevier B.V.</t>
  </si>
  <si>
    <t xml:space="preserve">R348</t>
  </si>
  <si>
    <t xml:space="preserve">Improving the Reliability of Lightweight Blockchain LPWAN Transmission Schemes</t>
  </si>
  <si>
    <t xml:space="preserve">Ruminot, N.; Estévez, C.; Souto, V.D.P.; Souza, R.D.; Montejo-Sánchez, S.</t>
  </si>
  <si>
    <t xml:space="preserve">10.1109/jsen.2024.3428335</t>
  </si>
  <si>
    <t xml:space="preserve">This article first conducts a comprehensive literature review on lightweight cryptography (LWC) to select cipher algorithms suitable for low-power Internet of Things (IoT) devices. Then, we propose to use blockchain technology with selected cryptography algorithms and coded transmission (CT) schemes to address vulnerabilities inherent to wireless channels, ensuring non-repudiation, confidentiality, data availability, and data integrity. The cryptography algorithm selection carefully considers the limitations of the resource-constrained devices (RCDs). Innovative CT schemes are introduced to enhance the reliability of wireless unicast communication between a base station (BS) and resource-constrained IoT nodes. The joint use of cryptography, blockchain technology, and CT schemes establishes a robust foundation for real-world implementation, which allows for extending the network range (even double) and the timely selection of the most reliable transmission scheme (according to the IoT node location).  © 2001-2012 IEEE.</t>
  </si>
  <si>
    <t xml:space="preserve">R349</t>
  </si>
  <si>
    <t xml:space="preserve">Quaternion-Oriented Multistructure Attractor: Generation and Audio Encryption Application with Hardware Implementation</t>
  </si>
  <si>
    <t xml:space="preserve">Bao, X.; Cui, M.; Xu, Q.; Bao, H.; Ho-Ching Iu, H.; Wang, N.</t>
  </si>
  <si>
    <t xml:space="preserve">10.1109/jiot.2025.3650529</t>
  </si>
  <si>
    <t xml:space="preserve">With the widespread application of audio communication in the Internet of Things (IoT), secure and efficient audio data transmission has become increasingly critical. However, existing chaos-based encryption schemes often face challenges in flexibly generating complex chaotic attractors and achieving a practical balance between security, flexibility, and efficiency. To address these limitations, this article proposes a novel universal method for generating multistructure chaotic attractors based on a quaternion rotation matrix (QRM) transformation. This method enables flexible control over the position, scale, and number of wing units in attractors by configuring quaternion parameters and a multilevel pulse function. Building upon this, we design a high-performance chaos-based audio encryption algorithm, and implement an encryption system for wireless transmission using a microcontroller and long-range radio (LoRa) module. The system integrates audio recording, encryption, wireless transmission, and decryption. Comprehensive security analyses demonstrate the proposed algorithm achieves robust performance. The successful integration of flexible chaotic attractor design, robust cryptographic security, and hardware realization confirms the practical viability of our scheme for information transmission in resource-constrained environments. © 2014 IEEE.</t>
  </si>
  <si>
    <t xml:space="preserve">R350</t>
  </si>
  <si>
    <t xml:space="preserve">An OAuth 2.0 and Lightweight Cryptography Framework for Secure IoT Communication and Authentication</t>
  </si>
  <si>
    <t xml:space="preserve">Faiza, D.; Farell, G.; Delianti, V.I.; Wahyudi, R.; Anori, S.</t>
  </si>
  <si>
    <t xml:space="preserve">10.18280/ijsse.160213</t>
  </si>
  <si>
    <t xml:space="preserve">This study presents the design and experimental validation of a secure communication framework for resource-constrained Internet of Things (IoT) devices by combining OAuth 2.0-based authorization with lightweight cryptographic mechanisms. The research addresses the persistent challenge of securing low-power IoT nodes, which often lack the computational capacity to implement conventional encryption and authentication protocols. The proposed system was deployed and tested on ESP32 and Raspberry Pi devices using a local network consisting of an authorization server, resource server, and monitoring dashboard. Performance metrics such as token-processing latency, throughput, and encryption overhead were evaluated under varying loads. Experimental results show that the system maintains token issuance latency below 500 ms for 1,000 simultaneous devices, while encrypted sensor data remained protected against replay, forgery, and interception attacks. These findings demonstrate that integrating OAuth-based token management with lightweight encryption can provide a scalable and practical security solution for real-world IoT deployments. The study also highlights the system's limitations and identifies opportunities for extending the framework to larger and more distributed environments. © 2026 The authors. This article is published by IIETA and is licensed under the CC BY 4.0 license (http://creativecommons.org/licenses/by/4.0/).</t>
  </si>
  <si>
    <t xml:space="preserve">R351</t>
  </si>
  <si>
    <t xml:space="preserve">Secure Registration Protocol for the Internet of Drones Using Blockchain and Physical Unclonable Function Technology</t>
  </si>
  <si>
    <t xml:space="preserve">Oláh, N.; Molnár, B.; Huszti, A.</t>
  </si>
  <si>
    <t xml:space="preserve">10.3390/sym15101886</t>
  </si>
  <si>
    <t xml:space="preserve">Unmanned aerial vehicles (UAVs) have become increasingly popular in recent years and are applied in various fields, from commercial and scientific to military and humanitarian operations. However, their usage presents many challenges, including limited resources, scalability issues, insecure communication, and inefficient solutions. We developed a secure and scalable registration protocol to address these issues using LoRa technology. Our solution involves the usage of the physical unclonable function (PUF) and blockchain technology for key exchange. PUF also ensures security against physical tampering, and blockchain is applied to share the symmetric key among the base stations. After the registration, the later communication messages are encrypted with AES-GCM to provide authentication and confidentiality between the parties. We conducted a security analysis of the registration protocol using the ProVerif tool, and our solution meets the security requirements, including the mutual authentication of entities, key freshness, key secrecy and also key confirmation properties. Besides the Proverif-based analysis, an informal security analysis is also provided that shows that the registration is protected against a variety of well-known active and passive security attacks. As drone resources are limited, we also prepared a proof of concept to test our solution under real-life conditions, focusing on efficiency and lightweight operations. © 2023 by the authors.</t>
  </si>
  <si>
    <t xml:space="preserve">R352</t>
  </si>
  <si>
    <t xml:space="preserve">Lightweight AES Algorithm for Internet of Things: An Energy Consumption Analysis</t>
  </si>
  <si>
    <t xml:space="preserve">10.1109/sbesc65055.2024.10771922</t>
  </si>
  <si>
    <t xml:space="preserve">The security of IoT applications remains one of the biggest challenges, given that the vast majority of applications are developed on devices with limited computational resources and interconnected by the Internet. By 2027, the number of active IoT applications is expected to reach approximately 30 billion, with a massive amount of data being transmitted over the Internet. Therefore, this information must be protected, as a vulnerable IoT application can lead to serious issues such as data leaks and manipulations. Thus, classical cryptographic algorithms become highly costly or even unfeasible. Optimized AES algorithms are found in the literature to provide lightweight cryptography, but none evaluate energy consumption. Faced with the challenge of implementing secure IoT applications while consuming the least energy possible, this work extends the evaluation of our previously proposed lightweight AES, assessing the energy consumption of the optimizations made in both the SubBytes and MixColumns stages. With the implemented optimizations, it was possible to achieve a reduction in energy consumption of 63.87% and 70.86% on the ESP32 and Raspberry Pi Pico platforms, respectively, when compared to the original version of the AES algorithm, making this version more viable for protecting IoT applications. © 2024 IEEE.</t>
  </si>
  <si>
    <t xml:space="preserve">R353</t>
  </si>
  <si>
    <t xml:space="preserve">ESP32-based Smartphone Oscilloscope: Real-Time Signal Processing and Secure Cloud Integration via MQTT</t>
  </si>
  <si>
    <t xml:space="preserve">Madhan, M.; Mohanraj, P.; Sivagurunathan, G.</t>
  </si>
  <si>
    <t xml:space="preserve">Proceedings of International Conference on Sustainable Communication Networks and Application, ICSCN 2025</t>
  </si>
  <si>
    <t xml:space="preserve">10.1109/icscn67106.2025.11308427</t>
  </si>
  <si>
    <t xml:space="preserve">The high cost and limited availability of conventional oscilloscopes severely restrict hands-on training and prototyping experiments for students, hobbyists, and resource-constrained environments. This work presents the design and implementation of a low-cost Wi-Fi-based smartphone oscilloscope using the ESP32 microcontroller, which allows real-time remote observation of signals and cloud-based logging of data. The system is capable of recording analog signals using the onboard Analog-to-Digital Converter (ADC) of the ESP32, applying edge-level Kalman filtering to remove noise, and sending the filtered data via Wi-Fi to a web interface on smartphones. Secure data logging is also facilitated by employing the Message Queuing Telemetry Transport (MQTT) protocol, thus allowing remote observation and long-term storage of data. The main objective is to offer a low-cost, easy-to-use, and portable instrument for electronics diagnostics and education. The contribution of the work lies in the integration of real-time Kalman-based filtering, software-timed dual-channel synchronization, and encrypted cloud logging using MQTT in a smartphone-compatible platform based on the ESP32.  © 2025 IEEE.</t>
  </si>
  <si>
    <t xml:space="preserve">R354</t>
  </si>
  <si>
    <t xml:space="preserve">Lightweight authentication scheme for massive MIMO on Internet of Things connectivity</t>
  </si>
  <si>
    <t xml:space="preserve">Dwivedi, A.; Agarwal, D.R.; Shukla, D.P.K.</t>
  </si>
  <si>
    <t xml:space="preserve">Physical Communication</t>
  </si>
  <si>
    <t xml:space="preserve">10.1016/j.phycom.2023.102043</t>
  </si>
  <si>
    <t xml:space="preserve">Massive MIMO is an essential technology in developing 5G networks and a concept that may be applied to other wireless systems. However, the advantages of adopting massive MIMO for broadband communication are well-established. Recently researcher has been devoted to building communication systems sustaining high communication rates with security. While massive MIMO for Internet-of-Things (IoT) connectivity is still a developing issue, IoT connectivity has requirements and limitations that differ significantly from broadband connections. Although IoT makes people's lives easier by allowing physical devices to flow through, the interaction of open wireless channels such as Bluetooth, ZigBee, LoRa, Narrowband-Internet of Things (NBIoT), and WiFi, has produced various security and privacy difficulties. Identity authentication is one of the effective solutions for addressing the Internet of Things security and privacy concerns. The typical point-to-point authentication technique ignores the internet of things’ massive number of nodes and limited node resources. Group authentication is an authentication method that simultaneously confirms the identity of a group of members, offering a novel approach to identity identification for the internet of things nodes. However, existing group authentication systems appropriate for the internet of things scenarios pose security issues. They cannot withstand malicious attacks such as forging and replay and cannot prevent group managers from fooling group members. Most existing group authentication schemes are computationally expensive and cannot be applied to resource-constrained IoT scenarios. At the same time, existing systems based on secret-sharing technology cannot resist forgery attacks and replay attacks. The attacker can forge a legal token by modifying the Lagrangian coefficient in the authentication token to pass the group authentication. This work employs verifiable secret sharing technology to create a lightweight verifiable group authentication method (L-IoT-GS) suitable for Internet of Things situations to resist group managers’ deceptive group behavior. Nodes in the Internet of Things scenario can frequently join and leave the network. Because of this, this article proposes a critical update link based on a verified group authentication system for updating group Member rights. According to security analysis, the suggested L-IoT-GS scheme meets accuracy and confidentiality requirements and can withstand malicious attacks such as replay, forgery, and impersonation. Furthermore, performance study and experimental simulation reveal that the L-IoT-GS technique minimizes group members’ computing costs compared to existing standard IoT group authentication schemes. © 2023 Elsevier B.V.</t>
  </si>
  <si>
    <t xml:space="preserve">R355</t>
  </si>
  <si>
    <t xml:space="preserve">Towards Zero-Touch Network Provisioning for Embedded Industrial IoT: A Feasibility Study on Autonomous Guest Wi-Fi Access</t>
  </si>
  <si>
    <t xml:space="preserve">Demir, F.C.; Anbalagan, S.N.</t>
  </si>
  <si>
    <t xml:space="preserve">10.1016/j.procs.2026.02.380</t>
  </si>
  <si>
    <t xml:space="preserve">As Industry 4.0 accelerates the deployment of autonomous embedded systems across diverse sectors, including healthcare, logistics, infrastructure, and energy, ensuring reliable and secure wireless connectivity remains a foundational challenge. Many operational environments rely on guest or public Wi-Fi networks protected by captive portals, which are inherently designed for human interaction. This presents a significant barrier for resource-constrained, headless embedded devices that must operate autonomously without user input. This paper investigates the feasibility of autonomous onboarding to such networks by analyzing the capabilities and limitations of embedded platforms, using the ESP32 microcontroller as a representative device. We develop a comprehensive taxonomy of prevalent guest Wi-Fi architectures, assess their compatibility with automated workflows, and evaluate the associated trade-offs in implementation complexity, resource consumption, latency, and cybersecurity risk. The findings reveal critical trade-offs between connectivity automation and security posture, emphasizing the need for machine-friendly networking standards like Passpoint and Opportunistic Wireless Encryption (OWE). This study provides a foundational framework for designing zero-touch, resilient connectivity mechanisms for embedded systems in a wide range of Industry 4.0 applications.  © 2026 The Author(s).</t>
  </si>
  <si>
    <t xml:space="preserve">R356</t>
  </si>
  <si>
    <t xml:space="preserve">TinyML for ECG Biometrics on Resource Constrained Devices</t>
  </si>
  <si>
    <t xml:space="preserve">Thota, Y.R.; Nikoubin, T.</t>
  </si>
  <si>
    <t xml:space="preserve">Proceedings of IEEE Computer Society Annual Symposium on VLSI, ISVLSI</t>
  </si>
  <si>
    <t xml:space="preserve">10.1109/isvlsi61997.2024.00100</t>
  </si>
  <si>
    <t xml:space="preserve">With the rapid advancements in Artificial Intelligence (AI) and deep fake technology, ensuring data security has become a paramount concern. Traditional authentication methods, such as face ID, iris, and fingerprints, are susceptible to compromise, highlighting the need for more robust biometric systems. Leveraging the unique characteristics of Electrocardiogram (ECG) signals, which vary significantly from individual to individual, shows the potential for enhancing authentication mechanisms. This paper introduces a novel methodology for the authentication of individuals using ECG signals in resource constrained devices like microcontroller units (MCUs) through the implementation of Tiny Machine Learning (TinyML). In this regard, 290 raw ECG signals of different subjects from the Physikalisch-Technische Bundesanstalt (PTB) database were filtered and segmented into 37,752 individual heartbeats. Subsequently, Spectrogram features were extracted to train a Dense Neural Network (DNN) machine learning model within the Edge Impulse platform, achieving an impressive accuracy of 97.6%. The trained model was then converted to a TinyML supported format and deployed onto Espressif ESP-EYE (ESP32 240MHz) devices for performance evaluation. Furthermore, this work evaluated the accuracy performance of spectral features in DNN and statistical, time domain features in the Support Vector Machine (SVM) model to complete result comparison. © 2024 IEEE.</t>
  </si>
  <si>
    <t xml:space="preserve">R357</t>
  </si>
  <si>
    <t xml:space="preserve">Design and assessment of lightweight cryptographic algorithms on ESP32 and STM32 for IoD security</t>
  </si>
  <si>
    <t xml:space="preserve">El Hanine, M.; El-Yahyaoui, A.; Es-Sadaoui, R.</t>
  </si>
  <si>
    <t xml:space="preserve">Egyptian Informatics Journal</t>
  </si>
  <si>
    <t xml:space="preserve">10.1016/j.eij.2025.100818</t>
  </si>
  <si>
    <t xml:space="preserve">Securing communications in autonomous drones is vital for protecting sensitive navigation and positioning data under tight hardware constraints. This study focuses on implementing the lightweight encryption algorithms Speck and Simon on ESP32 microcontrollers. Additionally, the Simon64/128 algorithm was tested on three STM32 platforms (F1, F4, and L4), selected for their frequent use in autonomous drones. The study evaluates encryption times on these platforms using optimized code versions, complemented by a comparative evaluation of STM32 platforms, profiling execution time and instruction-cycle efficiency, and identifying the optimal hardware security trade-offs for drone applications. We performed an SMT based cryptanalysis of reduced round Simon64/128 by encoding its round function and key schedule as bit vector constraints, recovering the ten most probable keys per configuration and illustrating how security degrades with fewer rounds; in particular, we show that at seven rounds the master key can be extracted in approximately 1529 s, clearly delineating the cipher security threshold. Building on these insights, we developed an SMT-guided, optimized implementation of Simon64/128 and validated its master key recovery process, quantifying the exponential increase in computational effort as the round count grows. Concurrently, our benchmarks reveal that STM32F429 reduces encryption latency by 50% compared to the F1 and L4 variants, making it the most suitable choice when balancing performance and security. These results highlight significant differences in the STM32 family, demonstrate that any reduction in the official round count must be precisely calibrated to avoid vulnerabilities, and underscore the necessity of optimizing lightweight ciphers and rigorously analyzing speed robustness trade-offs for real-time drone systems. © 2025 The Authors</t>
  </si>
  <si>
    <t xml:space="preserve">R358</t>
  </si>
  <si>
    <t xml:space="preserve">TinyML Based Biometric Authentication Using PPG Signals for Edge Devices</t>
  </si>
  <si>
    <t xml:space="preserve">Thota, Y.R.; Nixon, J.S.; Chandran, B.; Nikoubin, T.</t>
  </si>
  <si>
    <t xml:space="preserve">Proceedings of the ACM Great Lakes Symposium on VLSI, GLSVLSI</t>
  </si>
  <si>
    <t xml:space="preserve">10.1145/3716368.3735271</t>
  </si>
  <si>
    <t xml:space="preserve">Biometric authentication using physiological signals has gained attention for its security and robustness. This study presents a TinyML based authentication system leveraging Photoplethysmography (PPG) signals for real-time, edge-based identity verification. We explored various segmentation techniques, including windowing, peak-to-peak segmentation, and Pulse Segmentation to optimize feature extraction. The BioSec.Lab PPG Dataset was utilized alongside time domain, spectral and spectrogram-based feature extraction to enhance classification accuracy. Multiple deep learning architectures - including Deep Neural Network (DNN), 1D-Convolutional Neural Network (1D-CNN), and 2D-CNN, were evaluated for PPG-based biometric authentication. Our model achieved a peak accuracy of 96.64% for 30 individuals. The model is optimized for deployment on wearable and edge devices, requiring only a single point of contact for authentication. Finally, model performance was evaluated on the Espressif ESP-EYE (ESP32, 240 MHz), highlighting the potential of TinyML powered biometric authentication, offering a lightweight, secure, and real-time solution for identity verification on resource constrained devices. © 2025 Copyright held by the owner/author(s).</t>
  </si>
  <si>
    <t xml:space="preserve">R359</t>
  </si>
  <si>
    <t xml:space="preserve">Establishing Quantum-Classical Trust: Initialization and Key Exchange Phase</t>
  </si>
  <si>
    <t xml:space="preserve">Tonoy, M.T.A.; Baveja, M.; Chanda, P.; Bin Taleb Abrar, M.Y.; Moon, M.F.R.</t>
  </si>
  <si>
    <t xml:space="preserve">Proceedings of the 2025 International Conference on Artificial Intelligence and Emerging Technology, Global AI Summit 2025</t>
  </si>
  <si>
    <t xml:space="preserve">10.1109/aisummit66170.2025.11411253</t>
  </si>
  <si>
    <t xml:space="preserve">Quantum computing poses threats to existing cryptographic protocols like RSA and ECC. We propose QUBE-Crypto, a hybrid framework integrating Quantum Key Distribution (QKD), Post-Quantum Digital Signatures, Blockchain storage, and Pseudorandom Quantum States (PRSs). This architecture provides zero-trust authentication with provable security against classical and quantum attacks. Complexity analysis shows O(nlogn) authentication overhead with 150-260ms latency, suitable for IoT (ESP32), 5G/6G networks, and government deployments. Our system combines blockchain-secured identity registration with BB84 QKD, PRS-based challenges, and postquantum signatures (Dilithium-5, SQIsignHD), optimized for resource-constrained devices. © 2025 IEEE.</t>
  </si>
  <si>
    <t xml:space="preserve">R360</t>
  </si>
  <si>
    <t xml:space="preserve">Development of a Software Dashboard for A Locally-Made IoT Gateway Device</t>
  </si>
  <si>
    <t xml:space="preserve">Escobal, S.J.T.; Teogangco, M.M.; Jordan, O.B.; Leano, W.N.; De La Pena, M.O.</t>
  </si>
  <si>
    <t xml:space="preserve">International Conference on Communication, Computing, Networking, and Control in Cyber-Physical Systems, CCNCPS 2025</t>
  </si>
  <si>
    <t xml:space="preserve">10.1109/ccncps66785.2025.11135719</t>
  </si>
  <si>
    <t xml:space="preserve">This study addresses the need for an intuitive software dashboard, a web-based application, to manage a locally produced IoT gateway board, "IoTPod". It includes all necessary software components such as firmware, AP Mode configuration, Wi-Fi provisioning, ESP32 and Web App Communication Architecture setup, database creation, security feature implementation, and user interface development. Adopting the Software Development Life Cycle (SDLC) methodology ensured systematic implementation and functionality of these features. The implementation of AP mode provided a smooth configuration process, with reliable EEPROM storage and seamless transitions between AP and Station modes, ensuring device settings were preserved and the device connected to the intended network. Integrating an embedded security key, database logging, and user authentication using bcrypt and session management like JWT has strengthened the communication between the IoT gateway and the developed dashboard, preventing unauthorized access and ensuring strong security measures while keeping the interfaces user-friendly. Overall, the dashboard has reached several important milestones in device management, security, user experience, and reliability by implementing effective device discovery, secure authentication, intuitive interfaces, and stable connections. LoRa integration for extended communication, AI-driven analytics, and advanced encryption measures for further enhancement of its capabilities. © 2025 IEEE.</t>
  </si>
  <si>
    <t xml:space="preserve">R361</t>
  </si>
  <si>
    <t xml:space="preserve">A blockchain-enabled hybrid intrusion detection framework for resource-constrained devices</t>
  </si>
  <si>
    <t xml:space="preserve">Stolz, C.; Zhang, J.</t>
  </si>
  <si>
    <t xml:space="preserve">PeerJ Computer Science</t>
  </si>
  <si>
    <t xml:space="preserve">10.7717/peerj-cs.3899</t>
  </si>
  <si>
    <t xml:space="preserve">Threats to Internet of Things (IoT) networks are becoming increasingly complex and distributed, challenging the effectiveness of traditional Intrusion Detection Systems (IDS). IDS based on federated learning (FL) offer the ability to train machine learning models among distributed nodes without sharing data, but they are vulnerable to adversarial attacks such as model poisoning. Trust among distributed nodes is also a major challenge. To address these issues, this work presents a lightweight, blockchain-secured distributed IDS for IoT networks. The proposed system combines anomaly-based detection using federated learning, Snort-based signature detection, and host-based log analysis with transformer models. The blockchain is used for immutable logging of model updates and reputation-based trust scores. These updates are linked to unique blockchain identities, and the ledger enforces Sybil-resistant enrollment, allowing only authenticated nodes to contribute valid updates. Evaluation on the CICIDS2017 and HDFS datasets shows that the proposed approach achieves detection accuracy near 98.8% for federated network traffic analysis and an F1-score of 99.6% for host-based log anomaly detection with BERT-mini-class models. In poisoning experiments using random-weight injection, reputation scoring with L2-norm update filtering mitigates the impact of malicious updates. Experiments are conducted on a hardware testbed using Raspberry Pi and ESP32 devices. Blockchain logging achieved 21.47 TPS with 736 ms average latency on a Raspberry Pi 4. BERT-mini inference achieved 59 ms average latency (real-time). Copyright 2026 Stolz and Zhang Distributed under Creative Commons CC-BY 4.0. http://www.creativecommons.org/licenses/by/4.0/</t>
  </si>
  <si>
    <t xml:space="preserve">R362</t>
  </si>
  <si>
    <t xml:space="preserve">An anonymous authentication and key agreement protocol with session-preserving cross-domain handover using PUF and biometrics</t>
  </si>
  <si>
    <t xml:space="preserve">Kim, H.; Kim, S.</t>
  </si>
  <si>
    <t xml:space="preserve">10.1016/j.jisa.2026.104601</t>
  </si>
  <si>
    <t xml:space="preserve">Anonymous authentication and key agreement (AKE) protocols underpin the security of cyber-physical systems, but existing schemes face a recurring tension: protocols that achieve strong device attestation through Physical Unclonable Functions (PUF) or biometric binding rarely support efficient cross-domain handover, while protocols that do support handover typically renegotiate the entire session key, breaking end-to-end secure sessions and inflating bandwidth at the most resource-constrained end. This paper proposes B-PUF A2K, a three-party anonymous AKE protocol whose principal contribution is a session-preserving cross-domain handover mechanism: the serving authentication server issues an authenticated, time-bounded ticket that securely migrates the active session key to the target server over a pre-shared inter-server channel, allowing the resource-constrained device to roam without renegotiating key material with the remote operator. The protocol integrates a PUF for unclonable device-to-server authentication, biometrics with a Fuzzy Extractor for operator-to-server authentication, a dynamic pseudo-identity update rule driven by the newly agreed session key to guarantee non-traceability, and an Access Control List (ACL) check embedded in the authentication flow with an explicit grant/revoke/version lifecycle. The security of the protocol is formally validated under both the symbolic Dolev–Yao model using ProVerif and the computational Real-or-Random (RoR) model with a full game-hopping reduction under the Random Oracle and IND-CPA assumptions. The trust-model limits are honestly disclosed: the baseline protocol achieves weak forward secrecy rather than perfect forward secrecy, and a PFS extension based on ephemeral Diffie–Hellman is described. We instantiate and evaluate the protocol in the Internet of Drones (IoD) setting, where Unmanned Aerial Vehicles act as the resource-constrained device. The cryptographic primitives are empirically measured on an ESP32-S3 testbed running mbed TLS v3.4. Performance evaluation under platform-normalised comparison shows that the session-preserving handover incurs only ≈ 0.143 ms of cryptographic computation and 1056 bits on the device side, yielding an end-to-end handover latency of ≈ 19 ms, a 46%–62% reduction relative to full re-authentication baselines. The construction generalises to any AKE deployment that combines PUF-based device attestation, biometric operator binding, and cross-domain device mobility. © 2026 The Authors.</t>
  </si>
  <si>
    <t xml:space="preserve">R363</t>
  </si>
  <si>
    <t xml:space="preserve">Reducing Post-Quantum Cryptography Overhead in IoT Networks Using an Epoch-Based Compression Approach</t>
  </si>
  <si>
    <t xml:space="preserve">Jaouad, A.; Guelzim, I.</t>
  </si>
  <si>
    <t xml:space="preserve">2026 International Conference on Frontiers of Engineering and Emerging Technologies, FET 2026</t>
  </si>
  <si>
    <t xml:space="preserve">10.1109/fet68771.2026.11601673</t>
  </si>
  <si>
    <t xml:space="preserve">Post-quantum cryptography (PQC) protects against future quantum attacks but introduces significant bandwidth overhead for resource-constrained Internet of Things (IoT) devices. This paper presents an epoch-based architecture combining LZ4 compression with ML-KEM-512 key encapsulation to reduce transmission costs in bandwidth-limited IoT networks. Hardware benchmarks on ESP32-DevKitC demonstrate that ML-KEM-512 key operations complete in under 20 ms total, with LZ4 compression achieving 1.04-2.34× ratios on realistic IoT payloads in under 0.5 ms. At N=100 messages per epoch, the PQC bandwidth gap relative to compressed classical ECDH narrows from 478% down to 8.3%, and the amortized ML-KEM-512 overhead reduces to 15.68 bytes per message. Although the absolute PQC penalty remains a fixed 1,440 bytes per epoch when comparing equal compression baselines, session batching makes this overhead practically negligible. A device tier taxonomy maps RFC 7228 device classes to PQC capability requirements. The results indicate that compression-assisted PQC is viable for IoT deployments where message batching is feasible. © 2026 IEEE.</t>
  </si>
  <si>
    <t xml:space="preserve">R364</t>
  </si>
  <si>
    <t xml:space="preserve">Study About the Performance of Ascon in Arduino Devices</t>
  </si>
  <si>
    <t xml:space="preserve">Sarasa Laborda, V.; Hernández-Álvarez, L.; Hernández Encinas, L.; Sánchez García , J.I.; Queiruga-Dios, A.</t>
  </si>
  <si>
    <t xml:space="preserve">Applied Sciences (Switzerland)</t>
  </si>
  <si>
    <t xml:space="preserve">10.3390/app15074071</t>
  </si>
  <si>
    <t xml:space="preserve">In 2023, the Ascon cipher suite was selected as the winner of the National Institute of Standards and Technology (NIST) standardization process for lightweight cryptography, and has emerged as the leading candidate for cryptographic algorithms in resource-constrained environments. This cipher suite provides authenticated encryption with associated data and hash functionality. NIST’s Ascon proposal consists of two symmetric ciphers, Ascon-128 and Ascon-128a, a hash function, Ascon-HASH, an extendible output function, Ascon-XOF, and a new cipher variant, Ascon-80pq, with increased resistance to quantum attacks. This study presents an overview of the mathematical background, security principles and key properties of the Ascon cipher suite. In addition, a comprehensive performance evaluation of Ascon on various Arduino platforms, such as Arduino DUE, Arduino Mega2560, Arduino Nano Every and Arduino Nano ESP32, is performed. A detailed comparative analysis of these implementations is also provided. © 2025 by the authors.</t>
  </si>
  <si>
    <t xml:space="preserve">R365</t>
  </si>
  <si>
    <t xml:space="preserve">A key management protocol based on the hash chain key generation for securing Lorawan networks</t>
  </si>
  <si>
    <t xml:space="preserve">Abdel Hakeem, S.A.; Abd El-Kader, S.M.; Kim, H.</t>
  </si>
  <si>
    <t xml:space="preserve">10.3390/s21175838</t>
  </si>
  <si>
    <t xml:space="preserve">Recently, many Low Power Wide Area Network (LPWAN) protocols have been proposed for securing resource-constrained Internet of Things (IoT) devices with negligible power consump-tion. The Long Range Wide Area Network (LoRaWAN) is a low power communication protocol that supports message authentication, integrity, and encryption using two-session preshared secret keys. However, although the LoRaWAN supports some security functions, it suffers from session key generation and key update problems. This motivates us to introduce a new key management protocol that resolves the LoRaWAN problems and supports key updates. The proposed protocol is based on hash chain generation using a one-way hash function. Network entities share a common hash chain of n key elements to allow using a unique signing key per message. We also propose a salt hashing algorithm that encrypts the original keys into a different form to avoid the physical attacks at the end device side. We analyzed the proposed key generation performance in terms of the computation time, the required storage, and the communication overhead. We implemented and tested the proposed key generation protocol using the NS-3 network simulator. The proposed lightweight key generation protocol significantly enhances the security of the original LoRaWAN at a negligible overhead. The proposed protocol reduces the power consumption and transmission time by two times compared with some previous protocols. In addition, the proposed key generation protocol can resist attacks, such as key compromising attacks and replay attacks, and it supports the Perfect Forward Secrecy, which was not supported by LoRaWAN. © 2021 by the authors. Licensee MDPI, Basel, Switzerland.</t>
  </si>
  <si>
    <t xml:space="preserve">R366</t>
  </si>
  <si>
    <t xml:space="preserve">Lightweight Cryptography for IoT Security</t>
  </si>
  <si>
    <t xml:space="preserve">Tanisha, V.; Kashyap, V.; Hanvith, V.S.; Yamini, V.; S, S.</t>
  </si>
  <si>
    <t xml:space="preserve">10.1007/978-3-032-06671-8_17</t>
  </si>
  <si>
    <t xml:space="preserve">The increasing adoption of Internet of Things (IoT) technology has raised security concerns due to the computational and power constraints of embedded devices. Traditional cryptographic algorithms often impose high resource demands, making them impractical for IoT environments. This paper investigates the use of lightweight cryptographic algorithms, specifically PRESENT and SIMON, for securing data transmission in IoT applications. The implementation involves an ESP32 microcontroller interfaced with a DHT11 sensor, where the collected environmental data is encrypted before being transmitted to the cloud platform, ThingSpeak. The performance of the encryption algorithms is analyzed based on computational efficiency, memory consumption, and security strength. Experimental results demonstrate that lightweight cryptographic techniques provide an effective trade-off between security and performance, ensuring data integrity and confidentiality without significantly impacting device resources. The study highlights the importance of integrating lightweight cryptography into IoT networks to mitigate security vulnerabilities while maintaining operational efficiency. These findings contribute to the development of secure and scalable IoT systems that address the growing demand for resource-efficient security solutions. © The Author(s), under exclusive license to Springer Nature Switzerland AG 2026.</t>
  </si>
  <si>
    <t xml:space="preserve">R367</t>
  </si>
  <si>
    <t xml:space="preserve">A Comparative Analysis of the Impact of Cryptography in IoT LoRa Applications</t>
  </si>
  <si>
    <t xml:space="preserve">Lino, I.; Cecilio, J.</t>
  </si>
  <si>
    <t xml:space="preserve">IEEE International Conference on Industrial Informatics (INDIN)</t>
  </si>
  <si>
    <t xml:space="preserve">10.1109/indin51773.2022.9976108</t>
  </si>
  <si>
    <t xml:space="preserve">The Internet of Things has been applied in different application contexts, ranging from industrial, healthcare or simple home life applications. It allows adding a new level of automation to objects, making them appealing to everyone. Since several applications involve data, and in some cases, it is sensitive, those applications are more vulnerable to be attacked. As a result, researchers are constantly exploring secure mechanisms to keep the data and its owners safe. For the resource-constrained nature of these IoT applications, the design of cryptography solutions becomes a challenging task because IoT nodes should be cheap and require low power, which means lower computational performance. Lightweight cryptography algorithms are attractive solutions to reduce computation complexity, keeping the desired level of security. This work provides an experimental performance analysis of several cryptography solutions targeted for embedded platforms to help choose better algorithms for IoT systems in terms of efficiency. Execution time, code efficiency and communication influences are evaluated for a set of cryptography algorithms. The results of this work intend to help IoT developers to choose a suitable cryptography algorithm for their IoT applications. © 2022 IEEE.</t>
  </si>
  <si>
    <t xml:space="preserve">R368</t>
  </si>
  <si>
    <t xml:space="preserve">Enabling Quantum-Resistant EDHOC: Design and Performance Evaluation</t>
  </si>
  <si>
    <t xml:space="preserve">Fraile, L.P.; Tasopoulos, G.; Koulamas, C.; Zhao, R.K.; Haque Sultan, N.; Regazzoni, F.; Fournaris, A.P.</t>
  </si>
  <si>
    <t xml:space="preserve">10.1109/access.2025.3554010</t>
  </si>
  <si>
    <t xml:space="preserve">The Ephemeral Diffie-Hellman over COSE (EDHOC) is a compact and lightweight key establishment protocol for constrained scenarios that provides end-to-end application layer security context. However, because of the vulnerability of the discrete logarithm problem to Shor’s algorithm, a quantum resistant replacement for Diffie-Hellman is required. This paper proposes an architecture to transform EDHOC into a quantum-resistant protocol, with an open-source implementation supporting various Post Quantum Cryptography (PQC) schemes from the National Institute of Standards and Technology (NIST) PQC standardization process. Necessary modifications to EDHOC are analyzed, integrating PQC Key Encapsulation Mechanisms (KEMs) and PQC digital signatures in a complete Post-Quantum (PQ) version of the EDHOC protocol (PQ-EDHOC). PQC operations often involve complex computations and require larger byte sizes, which can challenge resource-constrained devices designed for lightweight operation in constrained network environments. To evaluate the applicability of various PQC schemes in a realistic PQ EDHOC environment, various PQC KEM and Digital Signature combinations are assessed for execution time, energy consumption, memory usage, and network performance on an nRF52840 ARM Cortex-M4 platform with a 6LoWPAN (IPv6 over Low-Power Wireless Personal Area Networks) over BLE (Bluetooth LowEnergy) network. Results indicate that NIST standardized ML-KEM emerges as the only suitable KEM choice for resource-constrained environments, while promising new signature schemes, like HAWK, show significant performance improvement over the NIST standardized ML-DSA and selected for standardization FALCON. © 2013 IEEE.</t>
  </si>
  <si>
    <t xml:space="preserve">R369</t>
  </si>
  <si>
    <t xml:space="preserve">A lightweight remote attestation using PUFs and hash-based signatures for low-end IoT devices</t>
  </si>
  <si>
    <t xml:space="preserve">Román, R.; Arjona, R.; Baturone, I.</t>
  </si>
  <si>
    <t xml:space="preserve">10.1016/j.future.2023.06.008</t>
  </si>
  <si>
    <t xml:space="preserve">Remote attestation is a powerful mechanism that allows a verifier to know if the hardware of an IoT (Internet-of-Thing) device (acting as a prover) has been counterfeited or tampered with and if its firmware has been altered. Remote attestation is based on collecting and reporting measurements in a trusted way, and should be lightweight for resource-constrained IoT devices. This work proposes to include a low-cost Root of Trust for Measuring and Reporting (RoTMR) in the prover, based on the combination of a Physically Unclonable Function (PUF) and an Attestation Read-Only Memory (A-ROM), and to use hash-based digital signatures in the attestation protocol. The proposed RoTMR is addressed to IoT devices based on a microcontroller that executes some application code (the measurable object) located in an external non-volatile memory accessible by an attacker. The secret keys required by the digital signatures are not stored but reconstructed using the PUF. The A-ROM contains the attestation instructions and ensures that its contents cannot be altered and that its instructions are executed sequentially without modification. The use of hash-based digital signatures makes the solution quantum-resistant and very robust because its security relies solely on the unidirectionality of a hash function. The proposed attestation protocol takes advantage of the fact that One-Time Signature (OTS) generation and Many-Time Signature (MTS) verification are very well suited for low-end devices, and the MTS scheme is suitable for the verifier application context. The proposal was validated experimentally with the ESP32 microcontroller, which is widely employed in IoT devices, by using its SRAM as PUF and implementing WOTS+, which is a type of Winternitz One-Time Signature scheme (WOTS), the One-Time Signature of Smart Digital Signatures scheme (SDS-OTS), and the MTS schemes constructed with them. The OTS schemes require smaller codes and thus smaller A-ROM than MTS and ECDSA (Elliptic Curve Digital Signature Algorithm). The code of one of the WOTS+ takes about 4 times less space than ECDSA. In terms of execution times, the OTS schemes are very fast. One of the WOTS+ performs all the signature operations in a few tens of milliseconds. The OTS schemes (especially the SDS-OTS) are also very efficient in terms of communication bandwidth because they use small signatures compared to other post-quantum solutions. © 2023 The Authors</t>
  </si>
  <si>
    <t xml:space="preserve">R370</t>
  </si>
  <si>
    <t xml:space="preserve">Novel Integer Hahn Transform for Real-Time Lossless Image Authentication in IoT: A 32-Bit Microcontroller Implementation</t>
  </si>
  <si>
    <t xml:space="preserve">Daoui, A.; Yamni, M.; Plawiak, P.; Alblehai, F.; Abd El-Latif, A.A.</t>
  </si>
  <si>
    <t xml:space="preserve">10.1109/access.2024.3457690</t>
  </si>
  <si>
    <t xml:space="preserve">Traditional discrete orthogonal transforms often introduce reconstruction errors, hindering their use in digital signal processing applications requiring exact signal recovery. To overcome this limitation, this paper presents the discrete integer Hahn transform (IHT), a novel discrete integer-based transform designed for lossless signal processing on resource-constrained platforms. By combining the IHT with a multiparametric 1D chaotic system, we develop a new lossless watermarking scheme for real-time image authentication and tamper detection. This scheme excels in several key areas: perfect watermark retrieval, minimal computational overhead suitable for embedded systems, wireless compatibility, and strong security guarantees. We validate our approach on a low-cost, resource-constrained embedded system based on the RP2040 32-bit microcontroller and demonstrate superior efficiency compared to recent state-of-the-art methods, especially in constrained environments. These findings underscore the potential of our technique for securing wireless image communication on resource-limited Internet of Things (IoT) devices.  © 2013 IEEE.</t>
  </si>
  <si>
    <t xml:space="preserve">R371</t>
  </si>
  <si>
    <t xml:space="preserve">ESP32-Enabled Secure LiFi Sensor Nodes with Lightweight Post-Quantum Cryptography for Indoor IoT</t>
  </si>
  <si>
    <t xml:space="preserve">Nurmurodov, J.; Askaraliyev, O.; Sharma, R.R.; Mamirov, K.</t>
  </si>
  <si>
    <t xml:space="preserve">Proceedings of the 2025 Optical Communication, Photonics, Telecommunications, and Intelligent Machine Applications, OPTIMA 2025</t>
  </si>
  <si>
    <t xml:space="preserve">10.1109/optima67660.2025.11380340</t>
  </si>
  <si>
    <t xml:space="preserve">We describe the architecture of a prototype and design of an indoor Internet-of-Things (IoT) sensor node based on visible light communication (LiFi) and powered with an ESP32 microcontroller and a lightweight post-quantum cryptography (PQC). LiFi offers indoors high throughput and line of sight wireless connections with reduction of RF congestion although LiFi terminals still need very robust cryptographic measures against spoofing and exfiltration of data. We combine a lattice-based KEM (CRYSTALS-Kyber/Kyber-lite style) that is our main key-encapsulation system with an efficient signature/hybrid authentication protocol to implement forward-secure and quantumresistant session keys on resource-constrained ESP32 platforms. We describe the hardware/software integration, optimization of memory and CPU using the ESP32 dual core and hardware AES, and a small protocol stack on the LiFi sensor device. Our implementation in ESP32 Kyber is feasible based on existing ESP32 Kyber-based ESP32 implementations and the literature of PQC in IoT; we give an evaluation plan and predictable latency/throughput tradeoffs of realistic deployments inside homes. The suggested architecture allows to support the implementation of privacy-sensitive LiFi sensing into the interior with security, at the same time being viable on off-the-shelf microcontroller systems. © 2025 IEEE.</t>
  </si>
  <si>
    <t xml:space="preserve">R372</t>
  </si>
  <si>
    <t xml:space="preserve">GRAIN Algorithm Implementation for Lightweight Hardware-Based OTP Authentication</t>
  </si>
  <si>
    <t xml:space="preserve">Teffandi, N.; Feryputri, N.A.-Z.; Hasanuddin, M.O.; Syafalni, I.; Sutisna, N.</t>
  </si>
  <si>
    <t xml:space="preserve">10.1109/iceei59426.2023.10346638</t>
  </si>
  <si>
    <t xml:space="preserve">This paper discusses the implementation of the GRAIN algorithm on ESP32 for hardware-based One Time Password (OTP) authentication. OTP is an authentication method that uses a random code valid for a single use and can enhance the security of authentication systems. ESP32 is a microcontroller platform that supports IoT application development and reliable wireless communication. The GRAIN algorithm was chosen for its high security and ability to generate unpredictable sequences of random numbers. OTP authentication using ESP32 can be applied to various IoT applications that require a high level of security. The implementation is done in the C language. The implementation results were tested using simulation software and ESP32 hardware to evaluate security and authentication quality. It is expected that this research will contribute to the development of authentication technology for IoT systems and other applications that require a high level of security. The conclusion of this research is the proposed OTP authentication hardware system is able to decrypts encrypted OTPs sent by an authenticator to an RFID card, using the ESP32 as a constrained device equipped with an OLED screen and a button. Furthermore, the authenticator generates ciphered OTPs based on GRAIN 128 and sends them to the hardware via an MQTT gateway, utilizing only 25 percent of available resources, making it suitable for constrained devices. © 2023 IEEE.</t>
  </si>
  <si>
    <t xml:space="preserve">R373</t>
  </si>
  <si>
    <t xml:space="preserve">Wireless Transmission Performance of LoRa with Embedded Lightweight Encryption Schemes</t>
  </si>
  <si>
    <t xml:space="preserve">Abdillah, M.F.Z.; Diasaloka, K.; Puspitaningayu, P.; Kurniawan, I.F.; Panduman, Y.Y.F.; Briantoro, H.</t>
  </si>
  <si>
    <t xml:space="preserve">Digest of Technical Papers - IEEE International Conference on Consumer Electronics</t>
  </si>
  <si>
    <t xml:space="preserve">10.1109/isct66099.2025.11297330</t>
  </si>
  <si>
    <t xml:space="preserve">LoRa is a low-power radio frequency-based wireless communication technology capable of transmitting data over long distances. This technology is widely used in embedded systems and the Internet of Things (IoT) in various sectors such as agriculture, fisheries, industry, transportation, and smart cities. However, data transmitted over the LoRa network is not encrypted by default, so the confidentiality of the data is not guaranteed because it can be intercepted and read by other parties at the same frequency. Therefore, data encryption techniques are needed in LoRa systems to maintain data confidentiality and security during the transmission process. This paper presents a comparative study of three lightweight encryption algorithms PRESENT, CHACHA20, and SPECK implemented on LoRa-based systems using RFM95W modules and Arduino R4 WiFi microcontrollers. Encrypted messages are transmitted between two LoRa nodes at varying distances to observe the effect of encryption on the quality of wireless communication. Performance evaluation is carried out based on three main metrics, namely signal strength (RSSI), communication delay time (latency), and transmission range. The test results show that each encryption algorithm has a different impact on LoRa communication performance, particularly in terms of the efficiency and reliability of long-distance data transmission. These findings provide practical insights for developers and practitioners who need secure yet responsive and stable LoRa communication. ©2025 IEEE.</t>
  </si>
  <si>
    <t xml:space="preserve">R374</t>
  </si>
  <si>
    <t xml:space="preserve">Using Esch256 Algorithm of the Sparkle Permutation Family to Enhance the Security of ESP-NOW Communication for Smart Lock Systems</t>
  </si>
  <si>
    <t xml:space="preserve">Noor, A.D.R.; Hasanuddin, M.O.</t>
  </si>
  <si>
    <t xml:space="preserve">Proceeding of 2024 the 10th International Conference on Wireless and Telematics, ICWT 2024</t>
  </si>
  <si>
    <t xml:space="preserve">10.1109/icwt62080.2024.10674707</t>
  </si>
  <si>
    <t xml:space="preserve">The smart lock system enables users to lock and unlock doors using electronic devices. However, ensuring security in data transmission between electronic devices is a major concern in developing this system. The Esch256 cryptographic algorithm of the Sparkle permutation family is utilized to enhance the security of data transmission in the smart lock system through ESP-NOW communication protocol. This research conducts tests on the software level of the smart lock system that employs the ESP-NOW protocol with Esch256 algorithm, especially regarding its data transmission. From the research conducted, it was obtained that the average time spent to run the entire system was 1.556 seconds. The results of this study demonstrate that the utilization of the Esch256 algorithm can reliably enhance the security of data transmission in the smart lock system through ESP-NOW communication implemented on constrained devices.  © 2024 IEEE.</t>
  </si>
  <si>
    <t xml:space="preserve">R375</t>
  </si>
  <si>
    <t xml:space="preserve">Light Weight CSI-Based Physical Layer Authentication Model for IoT Networks</t>
  </si>
  <si>
    <t xml:space="preserve">Roopak, M.; Ran, Y.; Parkinson, S.; Chambers, J.</t>
  </si>
  <si>
    <t xml:space="preserve">10.3390/electronics15153350</t>
  </si>
  <si>
    <t xml:space="preserve">This paper introduces a novel physical layer authentication technique for Internet of Things (IoT) networks, leveraging channel state information (CSI) data from Wi-Fi signals to distinguish between authorised and unauthorised nodes and thereby enhancing security without compromising performance. The core novelty lies in its integrated framework, which employs non-negative matrix factorization (NMF) for efficient feature selection and a Gaussian mixture model (GMM) for identifying complex patterns within the CSI data specifically adapted to the dynamic nature of IoT networks. NMF is utilised to mitigate the high dimensionality and redundancy inherent in raw CSI metrics, reducing processing load, extracting salient features, alleviating overfitting risks, and exhibiting superior resilience to noise. Following NMF, the GMM component is used for data classification, capitalising on its probabilistic and soft clustering attributes to represent intricate distributions and handle heterogeneous CSI data characteristics. This integrated proposed methodology not only exploits the inherent nonlinear and probabilistic characteristics of CSI data but also upholds computational efficiency, making it highly suitable for implementation in resource-constrained IoT wireless networks. The model achieves exceptional classification proficiency, with an accuracy rate of 99.83 percent and a recall of 100 percent, which are crucial for cybersecurity and anomaly detection. Furthermore, the system is designed for efficiency and minimal resource consumption, exhibiting good computational efficiency, reduced training duration, and lower energy consumption compared with more complex, heavily exploited architectures for CSI data processing like CNN and CNN + LSTM, making it particularly suitable for resource-constrained IoT environments. © 2026 by the authors.</t>
  </si>
  <si>
    <t xml:space="preserve">R376</t>
  </si>
  <si>
    <t xml:space="preserve">LEMS: Optimized Large Model Framework for Edge-AI in Consumer Internet of Things Devices</t>
  </si>
  <si>
    <t xml:space="preserve">Rehman, A.; Mahmood, K.; Ul Hassan, M.; Javed, M.W.; Aurangzeb, K.; Anwar, M.S.</t>
  </si>
  <si>
    <t xml:space="preserve">IEEE Transactions on Consumer Electronics</t>
  </si>
  <si>
    <t xml:space="preserve">10.1109/tce.2025.3552533</t>
  </si>
  <si>
    <t xml:space="preserve">Edge computing plays a critical role in enabling real-time deployment of artificial intelligence (AI) on resource-constrained consumer IoT devices. These devices face significant challenges in balancing energy efficiency, latency, accuracy, and security. To address these issues, an Optimized Lightweight Large Model Framework (LEMS) is proposed that enhances advanced model compression techniques, including pruning and quantization, to reduce computational and memory demands. Additionally, LEMS employs a hybrid edge-cloud processing architecture that optimizes resource utilization by offloading complex tasks to the cloud while maintaining low-latency performance at the edge. To ensure data security, the framework integrates lightweight cryptographic protocols, ensuring privacy without overwhelming the constrained devices. The LEMS evaluated on various IoT platforms, including Raspberry Pi 4 and ESP32 microcontrollers, using real-world dataset: MIMIC-III. Results show that LEMS reduces model size by up to 40% and cuts energy consumption by 15%, while preserving 91% inference accuracy. Moreover, the hybrid processing reduced latency by 60%, and the security mechanisms incurred less than 5% computational overhead. © IEEE. 1975-2011 IEEE.</t>
  </si>
  <si>
    <t xml:space="preserve">R377</t>
  </si>
  <si>
    <t xml:space="preserve">Federated TinyML and digital twin framework for secure and resilient IoMT-based ICU monitoring</t>
  </si>
  <si>
    <t xml:space="preserve">Khan, U.H.; Khan, R.; Alsaedi, T.; Chelloug, S.A.; Alturise, F.; Alkhalaf, S.</t>
  </si>
  <si>
    <t xml:space="preserve">Scientific Reports</t>
  </si>
  <si>
    <t xml:space="preserve">10.1038/s41598-026-62561-9</t>
  </si>
  <si>
    <t xml:space="preserve">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 © The Author(s) 2026.</t>
  </si>
  <si>
    <t xml:space="preserve">R378</t>
  </si>
  <si>
    <t xml:space="preserve">LoRa Radio Frequency Fingerprinting Identification Using a Hybrid Quantum-Classical Neural Network</t>
  </si>
  <si>
    <t xml:space="preserve">An, T.T.; Cotton, S.L.; Zhang, J.; Ding, Y.; Duong, T.Q.</t>
  </si>
  <si>
    <t xml:space="preserve">IEEE Vehicular Technology Conference</t>
  </si>
  <si>
    <t xml:space="preserve">10.1109/vtc2024-fall63153.2024.10757594</t>
  </si>
  <si>
    <t xml:space="preserve">Radio frequency fingerprint identification is a promising technique for device authentication that relies on the unique radio frequency fingerprint features caused by hardware impairments. Existing radio frequency fingerprint identification models usually contain a significant number of trainable parameters, making them undesirable for Internet of Things applications. In this paper, we augment a classical neural network by introducing an intermediary quantum neural network stage to enhance the authentication of Internet of Things devices using radio frequency fingerprint features. The model is based on the combination of quantum and classical machine learning and benefits from a significantly smaller number of trainable parameters. Empirical results show that our proposed model not only achieves a much smaller footprint (in terms of device memory) but also delivers competitive accuracy to conventional deep learning approaches. It therefore shows much promise as a solution for securing networks which feature resource-constrained Internet of Things devices. © 2024 IEEE.</t>
  </si>
  <si>
    <t xml:space="preserve">R379</t>
  </si>
  <si>
    <t xml:space="preserve">SPEAK: A Secure PUF-Enabled Authentication and Key-Exchange Protocol for IoT Devices</t>
  </si>
  <si>
    <t xml:space="preserve">Donovan, I.; Idriss, T.</t>
  </si>
  <si>
    <t xml:space="preserve">10.1109/milcom64451.2025.11310263</t>
  </si>
  <si>
    <t xml:space="preserve">The Internet of Things (IoT) faces myriad threats, serves countless users, and is largely populated by computationally constrained devices that necessitate lightweight security solutions. Physically Unclonable Functions (PUFs) offer a promising security primitive that requires minimal computation overhead, consumes little power, and naturally resists physical tampering. In this work, we introduce SPEAK (Secure PUF-Enabled Authentication and Key-Exchange), a novel protocol leveraging TRNG-powered random obfuscation and physically unclonable functions (PUFs) to achieve efficient key exchange and built-in authentication without the need for conventional encryption or hashing. We detail the implementation of SPEAK on an ESP32-C3 microcontroller, utilizing a 128-bit XOR-2 MemPUF, and evaluate its practical deployment over MQTT. Our security analysis demonstrates SPEAK's resilience against a range of attack vectors, including replay attacks, man-in-the-middle (MITM) attacks, and denial of service attacks. Furthermore, we conduct extensive machine learning-based modeling attacks, including those employing CMA-ES metaheuristics, and show that SPEAK maintains robust security against such adversaries. Experimental results reveal that SPEAK achieves significantly lower latency and improved throughput compared to SSL/TLS-based solutions, while remaining well-suited for ultra-lightweight IoT endpoints. These findings position SPEAK as a practical and scalable protocol for secure communication in next-generation IoT environments.  © 2025 IEEE.</t>
  </si>
  <si>
    <t xml:space="preserve">R380</t>
  </si>
  <si>
    <t xml:space="preserve">Stability-Aware Security–Performance Trade-Off Analysis in Resource-Constrained IoT Systems: A Time-Series and Bootstrap-Based Evaluation of TLS and Hybrid ECC–AES Mechanisms</t>
  </si>
  <si>
    <t xml:space="preserve">Del-Valle-Soto, C.; Alvarez-Garcia, M.F.; Briseño, R.A.; Rodriguez, J.; Visconti, P.</t>
  </si>
  <si>
    <t xml:space="preserve">Digital</t>
  </si>
  <si>
    <t xml:space="preserve">10.3390/digital6020035</t>
  </si>
  <si>
    <t xml:space="preserve">The increasing deployment of resource-constrained Internet of Things (IoT) devices requires security mechanisms that preserve confidentiality without compromising energy efficiency or responsiveness. Although Transport Layer Security (TLS) provides standardized protection for MQTT-based communication, its computational overhead may significantly affect embedded architectures. This study presents a controlled experimental evaluation of three communication configurations implemented on ESP32-based nodes: unencrypted Message Queuing Telemetry Transport (MQTT), MQTT over TLS 1.2, and an application-layer hybrid scheme combining Elliptic Curve Diffie–Hellman key exchange with AES-128 encryption. Second-level measurements of instantaneous current, accumulated energy, end-to-end latency, and memory footprint were collected across repeated experimental runs. Time-series diagnostics were performed to assess autocorrelation and stationarity, and block bootstrap resampling was applied to ensure dependence-aware statistical inference. The results indicate that TLS introduces the highest cumulative energy growth and latency dispersion, while the hybrid ECC–AES configuration demonstrates intermediate behavior with reduced overhead relative to TLS. Pareto frontier analysis shows that TLS is dominated in the joint energy–latency space, whereas the hybrid scheme represents a non-dominated compromise between security and efficiency. These findings provide a stability-aware and statistically robust framework for evaluating security–performance trade-offs in embedded IoT systems. © 2026 by the authors.</t>
  </si>
  <si>
    <t xml:space="preserve">R381</t>
  </si>
  <si>
    <t xml:space="preserve">Lightweight Secure Protocols for Low-Power IoT Devices: Modern Ciphers, Authentication, and Key Exchange.</t>
  </si>
  <si>
    <t xml:space="preserve">Alsobaie, D.; Alsabhan, W.; Khan, M.U.</t>
  </si>
  <si>
    <t xml:space="preserve">2025 27th International Multitopic Conference, INMIC 2025</t>
  </si>
  <si>
    <t xml:space="preserve">10.1109/inmic65900.2025.11348195</t>
  </si>
  <si>
    <t xml:space="preserve">This study presents the design and simulation of a lightweight cryptographic protocol for smart home IoT devices using ChaCha20 and Ascon-AEAD128. The protocol was implemented in Python and tested in a virtual ESP32 environment using Wokwi and CloudAMQP. It ensures both confidentiality and integrity by combining stream cipher encryption with authenticated message tagging. Two transmission scenarios, normal and tampered, were evaluated to verify tag validation and message decryption. Results confirmed that the system reliably detects tampering and prevents unauthorized decryption. The study highlights the practicality of modern AEAD ciphers for constrained devices and offers a complete, testable protocol for secure IoT communication. This implementation contributes a functional, scalable solution aligned with NIST cryptographic standards for low-power IoT networks. ©2025 IEEE.</t>
  </si>
  <si>
    <t xml:space="preserve">R382</t>
  </si>
  <si>
    <t xml:space="preserve">An Advanced IoT Framework for Long Range Connectivity and Secure Data Transmission Leveraging LoRa and ASCON Encryption</t>
  </si>
  <si>
    <t xml:space="preserve">Nooruddin, M.; Valles, D.</t>
  </si>
  <si>
    <t xml:space="preserve">2023 IEEE World AI IoT Congress, AIIoT 2023</t>
  </si>
  <si>
    <t xml:space="preserve">10.1109/aiiot58121.2023.10174401</t>
  </si>
  <si>
    <t xml:space="preserve">In the rapidly evolving Internet-of-Things (IoT) landscape, the need for long-range communication and robust security measures has become paramount. This paper presents a cost-effective and innovative IoT communication framework utilizing Raspberry Pi Pico microcontrollers, LoRa RYLR896 radio modules, and ASCON-based encryption to facilitate secure and efficient data transmission between resource-constrained devices. The affordability of the Raspberry Pi Pico, LoRa RYLR896, and ESP32 microcontroller make the proposed solution highly accessible and economically viable for widespread deployment. The strengths of ASCON, the NIST-selected lightweight cryptographic standard, are leveraged, providing both encryption and authentication in a single, memory-efficient container, outperforming traditional AES in IoT applications. The system is implemented with a key exchange algorithm that employs pre-shared keys and a key exchange protocol to securely negotiate encryption keys between devices. The approach incorporates two environmental sensors, the AHTx0 temperature sensor and BME280 atmospheric pressure sensor, to continuously monitor and transmit data to a central receiver using an ESP32 microcontroller. The performance of the proposed framework is evaluated through comprehensive experiments, concentrating on crucial communication metrics such as Signal-to-Noise Ratio (SNR), Received Signal Strength Indicator (RSSI), power consumption, and memory usage. The findings demonstrate the reasonable performance of the communication framework for IoT applications. Furthermore, the system features a built-in local data storage mechanism for circumstances where Wi-Fi connectivity is unavailable, such as rural areas, saving the sensor data as CSV files on the ESP32 microcontroller.  © 2023 IEEE.</t>
  </si>
  <si>
    <t xml:space="preserve">R383</t>
  </si>
  <si>
    <t xml:space="preserve">On the Use of Power Amplifier Nonlinearity Quotient to Improve Radio Frequency Fingerprint Identification in Time-Varying Channels</t>
  </si>
  <si>
    <t xml:space="preserve">Yang, L.; Camtepe, S.; Gao, Y.; Liu, V.; Jayalath, D.</t>
  </si>
  <si>
    <t xml:space="preserve">IEEE International Symposium on Personal, Indoor and Mobile Radio Communications, PIMRC</t>
  </si>
  <si>
    <t xml:space="preserve">10.1109/pimrc56721.2023.10293946</t>
  </si>
  <si>
    <t xml:space="preserve">Radio frequency fingerprint identification (RFFI) is a lightweight device authentication technique particularly desirable for power-constrained devices, e.g., the Internet of things (IoT) devices. Similar to biometric fingerprinting, RFFI exploits the intrinsic and unique hardware impairments resulting from manufacturing, such as power amplifier (PA) nonlinearity, to develop methods for device detection and classification. Due to the nature of wireless transmission, received signals are volatile when communication environments change. The resulting radio frequency fingerprints (RFFs) are distorted, leading to low device detection and classification accuracy. We propose a PA nonlinearity quotient and transfer learning classifier to design the environment-robust RFFI method. Firstly, we formalized and demonstrated that the PA nonlinearity quotient is independent of environmental changes. Secondly, we implemented transfer learning on a base classifier generated by data collected in an anechoic chamber, further improving device authentication and reducing disk and memory storage requirements. Extensive experiments, including indoor and outdoor settings, were carried out using LoRa devices. It is corroborated that the proposed PA nonlinearity quotient and transfer learning classifier significantly improved device detection and device classification accuracy. For example, the classification accuracy was improved by 33.3% and 34.5% under indoor and outdoor settings, respectively, compared to conventional deep learning and spectrogram-based classifiers. © 2023 IEEE.</t>
  </si>
  <si>
    <t xml:space="preserve">R384</t>
  </si>
  <si>
    <t xml:space="preserve">Secure edge-based IoMT framework for ICU monitoring with TinyML and post-quantum cryptography</t>
  </si>
  <si>
    <t xml:space="preserve">Khan, U.H.; Qamar, A.; Khan, R.; Alturise, F.; Alshaabani, A.R.; Alkhalaf, S.</t>
  </si>
  <si>
    <t xml:space="preserve">10.1038/s41598-025-20017-6</t>
  </si>
  <si>
    <t xml:space="preserve">This article proposes a secure, real-time, intelligent, edge-based Internet of Medical Things (IoMT) monitoring framework for intensive care unit (ICU) environments. The system integrates TinyML-powered decision trees with lattice-based post-quantum cryptography (PQC), specifically Kyber 512, to enable low-latency anomaly detection and quantum-resistant data transmission. Although designed for deployment on resource-constrained ESP32 microcontrollers, the entire pipeline is implemented and evaluated within an OMNeT++ simulation environment, including on-device inference and PQC encryption. A synthetically generated ICU dataset, validated by three hospitals, ensures clinical relevance and robustness in diverse patient scenarios. Data fusion techniques improve feature reliability, while Kyber 512 provides lightweight, quantum-safe encryption. OMNeT++ simulations demonstrate end-to-end communication with zero observed packet loss and very low end-to-end latency, under realistic ICU network conditions. The framework addresses key challenges in computational efficiency, data confidentiality, and scalability, offering a future-ready solution for intelligent healthcare systems. The results show 99.4% accuracy in anomaly detection, with strong generalization validated on external datasets (PhysioNet: 98.5%, Kaggle: 99.0%). This work represents one of the first integrations of TinyML and PQC in a simulated IoMT setting, paving the way for secure, scalable, and intelligent ICU monitoring. © The Author(s) 2025.</t>
  </si>
  <si>
    <t xml:space="preserve">R385</t>
  </si>
  <si>
    <t xml:space="preserve">Quantum Safe Lattice-Based Lightweight Authentication Protocol</t>
  </si>
  <si>
    <t xml:space="preserve">Seyhan, K.; Akleylek, S.; Dursun, A.F.</t>
  </si>
  <si>
    <t xml:space="preserve">Proceedings - 5th International Conference on Informatics and Software Engineering, IISEC 2026</t>
  </si>
  <si>
    <t xml:space="preserve">10.1109/iisec69317.2026.11418483</t>
  </si>
  <si>
    <t xml:space="preserve">In this paper, a lattice-based lightweight authentication protocol is proposed for resource-constrained devices. The constructed protocol provides post-quantum security by relying on the hardness of module learning with errors (MLWE) assumption over lattices. Physical unclonable function (PUF), message authentication code (MAC), and exclusive or (XOR) operations are used to satisfy lightweight considerations. Informal security analysis shows that the proposed scheme provides integrity, confidentiality, anonymity, mutual authentication, and replay attack resistance. For performance evaluations based on resource-limited environments, two different authentication scenarios are constructed on the ESP32 platform, and analyses are presented in terms of running time, communication cost, and CPU cycles. © 2026 IEEE.</t>
  </si>
  <si>
    <t xml:space="preserve">R386</t>
  </si>
  <si>
    <t xml:space="preserve">Digital Representations in IoT: Cryptographic Tools for Improved Security</t>
  </si>
  <si>
    <t xml:space="preserve">Adilzhanova, S.; Rakhysh, A.; Kunelbayev, M.; Sybanova, D.; Amirkhanova, G.</t>
  </si>
  <si>
    <t xml:space="preserve">Journal of Advances in Information Technology</t>
  </si>
  <si>
    <t xml:space="preserve">10.12720/jait.17.2.390-404</t>
  </si>
  <si>
    <t xml:space="preserve">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 © 2026 by the authors.</t>
  </si>
  <si>
    <t xml:space="preserve">R387</t>
  </si>
  <si>
    <t xml:space="preserve">Cross-Platform Performance and Security Evaluation of Post-Quantum Cryptographic Algorithms on Resource-Constrained Devices</t>
  </si>
  <si>
    <t xml:space="preserve">Lucaciu, D.-L.; Popescu, D.E.</t>
  </si>
  <si>
    <t xml:space="preserve">10.3390/app16125781</t>
  </si>
  <si>
    <t xml:space="preserve">The rapid advancement of quantum computing poses a fundamental threat to classical public-key cryptographic systems, necessitating the transition to post-quantum cryptography (PQC). While significant progress has been made in the standardization of quantum-resistant algorithms, their practical deployment in heterogeneous environments—particularly resource-constrained Internet of Things (IoT) devices—remains a critical challenge. This study presents a comprehensive experimental evaluation of four NIST-standardized PQC algorithms: CRYSTALS-Kyber (ML-KEM), CRYSTALS-Dilithium (ML-DSA), FALCON, and SPHINCS+. The scope of these findings is bounded by an empirical analysis conducted across two specific testing platforms, a high-performance x86-64 workstation (AMD Ryzen 7 5700U) and a resource-constrained embedded microcontroller (ESP32-WROOM), utilizing dedicated software environments implemented in Native C, Go, and Python. The evaluation isolates key performance indicators, including computational latency, memory consumption, communication overhead, and temporal determinism, based on benchmarking over 1000 iterations. Within this experimental setup, results demonstrate clear trade-offs between target security categories, execution performance, and structural memory limits. Lattice-based schemes such as Kyber and Falcon exhibit optimal efficiency and scalability on the tested embedded platform, while the specific memory limits of the ESP32 platform introduce architectural stability constraints for higher-tier Dilithium variants. In contrast, SPHINCS+ provides structural robustness at the cost of higher computational hashing latency within these evaluation environments. The findings highlight the critical role of hardware-specific constraints and language runtime design choices in enabling practical PQC deployment, providing context-specific insights supporting the secure migration of IoT infrastructures toward quantum-resilient systems. © 2026 by the authors.</t>
  </si>
  <si>
    <t xml:space="preserve">R388</t>
  </si>
  <si>
    <t xml:space="preserve">LoRa-PUF: A Two-Step Security Solution for LoRaWAN</t>
  </si>
  <si>
    <t xml:space="preserve">Aliyu, M.B.; Hafeez, M.; Johnson, A.</t>
  </si>
  <si>
    <t xml:space="preserve">10.1109/vtc2023-spring57618.2023.10199591</t>
  </si>
  <si>
    <t xml:space="preserve">The ever-increasing penetration of Internet of Things (IoT) applications across all sectors require better information and communication security for IoT devices. Physical Unclonable Function (PUF) circuits are a low-cost method used for generating unique responses, ideal for key generation and device authentication in high-performance microprocessors. PUFs are extracted from manufacturing variations embedded in the hardware of accessible devices, thereby requiring no additional computation or modification. Static Random Access Memory (SRAM) PUFs are widely used with keys generated from power-up values for authentication. This work is based on improving device authentication in the context of LoRa, which is a low-power wide-area network (LPWAN) technology. This paper exploits the integration of Carrier Frequency Offsets (CFOs) and SRAM PUF to create a two-step authentication security solution for LoRaWAN called LoRa-PUF. The power-up state value of three SRAM chips from the same off-the-shelf manufacturer are analyzed for SRAM PUF properties and 36000 packets of CFOs of four LoRa device types have been analyzed for LoRa-PUF. Our results indicate that LoRa SRAMs serve as sources of reliable challenge-response pairs for PUFs and the CFOs of the LoRa device type can be classified during communication with more than 70% accuracy which can be implemented on resource-constrained LoRa microcontrollers.  © 2023 IEEE.</t>
  </si>
  <si>
    <t xml:space="preserve">R389</t>
  </si>
  <si>
    <t xml:space="preserve">A Unified Approach to a Secure and Lightweight Mutual Authentication Protocol Using Pre-Characterized COTS SRAM ICs for IoT Applications</t>
  </si>
  <si>
    <t xml:space="preserve">Gupta, A.; Surpur, A.; Das, B.P.; Manhas, S.</t>
  </si>
  <si>
    <t xml:space="preserve">10.1145/3748328</t>
  </si>
  <si>
    <t xml:space="preserve">Traditional Physical Unclonable Function (PUF)-based authentication protocols are vulnerable to machine learning attacks and evolving cyber threats. Moreover, these protocols lack suitability for resource-constrained IoT devices due to the involvement of heavy cryptographic primitives, error correction modules, and significant computational overhead. This article proposes a mutual authentication protocol and session key agreement utilizing commercial-off-the-shelf (COTS) SRAM integrated circuits (ICs) to extract a secret key. We introduce a block-based lightweight fuzzy extractor to minimize the overhead associated with error correction modules on IoT devices. Our protocol relies only hash, XOR and masking functions for the identity verification for both parties and stores only one challenge-response pair (CRP) on the server, reducing memory overhead on the authentication server. In addition, we perform a rigorous informal security analysis against well-known attacks and formal security analysis using Verifpal tool considering an active attacker in the communication link. Furthermore, the performance evaluation and comparative analysis indicate that the proposed protocol significantly outperforms the state-of-the-art protocols in terms of communication, computational overhead, storage overhead, and energy consumption by up to 69%, 81%, 87.5%, and 76.6%, respectively. We have implemented the proposed authentication protocol on ESP32 and Raspberry Pi 3 boards to show its applicability and scalability in a real-world IoT framework.  © 2025 Copyright held by the owner/author(s).</t>
  </si>
  <si>
    <t xml:space="preserve">R390</t>
  </si>
  <si>
    <t xml:space="preserve">Design of Cryptography Algorithm for Data Security of a IoT System</t>
  </si>
  <si>
    <t xml:space="preserve">Ni, L.C.; Ali, S.; Rashid, R.A.</t>
  </si>
  <si>
    <t xml:space="preserve">10.1109/atnt61688.2024.10719294</t>
  </si>
  <si>
    <t xml:space="preserve">This research explores the data security of the Internet of Things (IoT), with a specific focus on designing cryptographic algorithms suitable for the resource-constrained ESP32 microcontroller. Referencing existing Advanced Encryption Standard (AES) and Data Encryption Standard (DES) algorithms, the proposed lightweight block cipher algorithm is specifically tailored for the ESP32 platform. It leverages encryption techniques such as key generation, XOR operations, custom-designed S-boxes, custom-designed P-boxes, and row permutation methods. Understanding the structure of ESP32, the algorithm is designed to align the process data with native word size which takes advantage of optimizing the register operation. Performance analysis was conducted to balance security and execution time. The results indicate that the combination of encryption techniques including key generation, XOR operation, S-box, P-box, and row permutation yields optimal randomness, with nearly 50% of bit changes in the SAC test. The design of the proposed cryptography algorithm is recommended to use four rounds of encryptions, as it passes the SAC test in the fourth round and exhibits the shortest execution time which is 3ms. Implementation on ESP32 confirms its feasibility for Internet of Things (IoT) applications.  © 2024 IEEE.</t>
  </si>
  <si>
    <t xml:space="preserve">R391</t>
  </si>
  <si>
    <t xml:space="preserve">Securing the LoRaWAN join procedure using blockchains</t>
  </si>
  <si>
    <t xml:space="preserve">Danish, S.M.; Lestas, M.; Qureshi, H.K.; Zhang, K.; Asif, W.; Rajarajan, M.</t>
  </si>
  <si>
    <t xml:space="preserve">Cluster Computing</t>
  </si>
  <si>
    <t xml:space="preserve">10.1007/s10586-020-03064-8</t>
  </si>
  <si>
    <t xml:space="preserve">LoRaWAN, part of the long range Internet of Things (IoT) technologies, is a Low Power Wide Area (LPWA) protocol that enables communication between the battery operated resource constrained devices. Although LoRaWAN provides system-level security, these networks are based on a basic assumption of trust between the network server and the user, which as a result empowers a network server with undue authorities. Moreover, the nature of the LoRaWAN join procedure, which is a key component for ensuring network operation, is highly susceptible to jamming and replay attacks through slight packet manipulation, thus making the network vulnerable. In order to address these deficiencies, we present a blockchain-based distributed framework for the LoRaWAN join procedure, in order to provide a secure and trusted authentication system within LoRaWAN networks. Our proposed solution eliminates the jamming and replay attack threats against the LoRaWAN join procedure and in addition builds trust among LoRa end devices and network servers. The framework is endorsed by a Proof of Concept (PoC) implementation using the Ethereum blockchain which is used to evaluate the proposed system in realistic LoRaWAN network scenarios. The simulations results indicate that the proposed solution achieves efficient system performance up to an upper bound on the load level which involves 30 join requests from 1000 concurrent clients. © 2020, Springer Science+Business Media, LLC, part of Springer Nature.</t>
  </si>
  <si>
    <t xml:space="preserve">R392</t>
  </si>
  <si>
    <t xml:space="preserve">Simultaneous Integration of Kyber and Dilithium on Embedded Microcontrollers: Towards Quantum-Resistant IoT Systems</t>
  </si>
  <si>
    <t xml:space="preserve">Do, T.-B.; Dinh, K.-L.</t>
  </si>
  <si>
    <t xml:space="preserve">Engineering, Technology and Applied Science Research</t>
  </si>
  <si>
    <t xml:space="preserve">10.48084/etasr.17148</t>
  </si>
  <si>
    <t xml:space="preserve">The rapid progress of quantum computing poses a serious threat to conventional public-key cryptographic schemes such as Rivest-Shamir-Adleman (RSA) and Elliptic Curve Cryptography (ECC), particularly in resource-constrained Internet of Things (IoT) environments. In response, Post-Quantum Cryptography (PQC) algorithms based on lattice problems-most notably Kyber for key encapsulation and Dilithium for digital signatures-have been standardized by the U.S. National Institute of Standards and Technology (NIST). While these schemes offer strong security guarantees, their practical deployment on low-power embedded microcontrollers remains challenging due to strict constraints on memory, computation time, and energy consumption. This paper presents a system-level and simultaneous integration of Kyber and Dilithium on the ESP32 microcontroller platform. To enable the concurrent execution of both NISTstandardized primitives, we apply a set of software-level optimization techniques, including Barrett reduction for efficient modular arithmetic, buffer reuse to minimize memory footprint, and careful local variable management to reduce stack usage. Unlike prior studies that typically evaluate post-quantum primitives in isolation or rely on simulated environments, our work provides an empirical evaluation based on real hardware measurements. Experimental results obtained on an ESP32 DevKit demonstrate that optimized implementations of Kyber and Dilithium can coexist reliably within the platform's limited resources, achieving practical execution times and acceptable energy consumption for embedded IoT applications. These findings provide concrete evidence that quantum-resistant public-key cryptography can be feasibly deployed on widely used microcontroller-based systems, thereby supporting the transition toward secure and future-proof IoT infrastructures. © 2026. Dr D. Pylarinos All rights reserved.</t>
  </si>
  <si>
    <t xml:space="preserve">R393</t>
  </si>
  <si>
    <t xml:space="preserve">Secure-by-Design Wireless Frameworks for High-Reliability Cyber-Physical IoT Systems</t>
  </si>
  <si>
    <t xml:space="preserve">Nandan, B.P.; Muruganantham, R.; Singireddy, J.; Kannadhasan, S.; Kapila, D.</t>
  </si>
  <si>
    <t xml:space="preserve">10.1007/978-3-032-20533-9_44</t>
  </si>
  <si>
    <t xml:space="preserve">Industries have been revolutionized through the rapid proliferation of Internet of Things (IoT) and Cyber-Physical Systems (CPS), allowing for smart, interconnected devices. The proliferation of wireless communication technology, including ZigBee, LoRa and 5G use to drive growth is a substantial security and robustness challenge. The proposed Secure-by-Design framework is aimed at realizing the requirements of this environment, and include many levels protection will be there such as confidentiality through encryption; integrity can be assured using authentication and intrusion detection; availability guarantees are provided via reliability including retransmission &amp; redundancy. In this paper we present such a framework to measure the security and reliability of CPS/IoT systems, in terms of slighting different wireless technologies under different attack scenarios. Experimental results indicate that even though the security implementations result in small performance degradation with respect to packet delivery and latency, these trade-offs are not significant enough to put a question mark on reliability of CPS applications. The planned framework exhibits strong resiliency against Denial-of-Service (DoS), spoofing and man-in-the-middle attacks and can help in enhancing security in resource-constrained environments. © The Author(s), under exclusive license to Springer Nature Switzerland AG 2026.</t>
  </si>
  <si>
    <t xml:space="preserve">R394</t>
  </si>
  <si>
    <t xml:space="preserve">Development of an ESP32-Based Tracker with XTEA-Encrypted Coordinates</t>
  </si>
  <si>
    <t xml:space="preserve">Sendjaya, D.D.; Shabira, F.A.; Humaira, M.; Elfazri, M.R.; Hasanuddin, M.O.</t>
  </si>
  <si>
    <t xml:space="preserve">10.1109/iceei59426.2023.10346711</t>
  </si>
  <si>
    <t xml:space="preserve">This research was aimed at developing a distance detection device that used the ESP32 and GPS modules, and applying the XTEA cryptography algorithm to increase the security of the data transmitted over MQTT protocol. The method used in the development of this device was to design an electronic circuit consisting of two ESP32s with GPS modules connected to respective ESP32s. Location data from first ESP32 were received from the GPS module, which were directly encrypted with XTEA cryptography before being sent to the MQTT server. Furthermore, the data was received by the second ESP32 from MQTT, which also directly decrypted by XTEA cryptography. Then the decrypted location data was used to calculate the distance between both ESP32s with the Haversine formula. The system took 25.3 μs to encrypt and 34 μs to decrypt the coordinates data. Also it took only 0.6% difference on memory resource usage compared to procedures without encryption and 0.01% for the decryption. These data showed that this device is able to detect distances and provide an adequate level of data security with XTEA cryptography that ran very cheap and efficient. Thus, this device can be used in various applications that require distance measurement and data security. © 2023 IEEE.</t>
  </si>
  <si>
    <t xml:space="preserve">R395</t>
  </si>
  <si>
    <t xml:space="preserve">TTEA: designing a quantum-ready and energy-conscious encryption model for secure IoT environments</t>
  </si>
  <si>
    <t xml:space="preserve">Abdelaal, M.A.; Moustafa, A.I.; Saleh, H.; Afifi, M.Y.I.</t>
  </si>
  <si>
    <t xml:space="preserve">10.1038/s41598-026-36998-x</t>
  </si>
  <si>
    <t xml:space="preserve">The proliferation of resource-constrained IoT devices has intensified the conflict between robust security requirements and hardware limitations. Conventional lightweight encryption algorithms (e.g., TEA, Speck) often fail to resolve this tension, exhibiting known cryptanalytic vulnerabilities while imposing excessive computational and energy overhead. This paper presents the Two-Stage Encryption Approach (TTEA), an innovative cryptographic framework optimized for IoT ecosystems. TTEA incorporates a bit-sliced S-box as a non-linear substitution layer to ensure high diffusion and resistance to differential attacks, together with an adaptive key scheduling mechanism that dynamically adjusts computational complexity based on device power states. Evaluation on standard IoT platforms such as ESP32 and Raspberry Pi demonstrates that TTEA reduces energy consumption by 39% compared to TEA, lowers memory requirements by 40%, and achieves 20% faster execution speeds. Security analysis confirms an avalanche effect of 48.5% and near-ideal ciphertext entropy (7.98 bits for 128B packets). Furthermore, TTEA shows resilience against differential and linear cryptanalysis, side-channel attacks, and quantum threats when integrated with CRYSTALS-Kyber for post-quantum key exchange. By bridging the gap between post-quantum security and energy efficiency, TTEA offers a validated solution for modern IoT deployments. © The Author(s) 2026.</t>
  </si>
  <si>
    <t xml:space="preserve">R396</t>
  </si>
  <si>
    <t xml:space="preserve">A Comparison of Lightweight Cryptographic Protocols for Energy-Efficient and Sustainable IoMT Authentication</t>
  </si>
  <si>
    <t xml:space="preserve">Naser, H.Y.; Mattar, A.K.; Saare, M.A.; Almaiah, M.A.; Shehab, R.</t>
  </si>
  <si>
    <t xml:space="preserve">10.48084/etasr.12204</t>
  </si>
  <si>
    <t xml:space="preserve">The Internet of Medical Things (IoMT) supports health monitoring and data access and exchange in real time, but devices constrained in terms of energy, memory, and processing resources make traditional cryptographic protocols not applicable. This work presents a lightweight authentication framework that compares three symmetric encryption algorithms, TinyAES, SPECK, and PRESENT, designed for resource-limited IoMT systems. The method consists of four standalone phases: user registration, login authentication, session key exchange, and secure data transfer. The proposed approach was evaluated on the ESP32 and Raspberry Pi platforms, demonstrating up to 56% execution gain, 58% energy reduction, and 42% memory savings over ECC-based schemes. TinyAES achieves the best trade-off among all compared algorithms and is recommended for secure and sustainable medical IoT applications. © by the authors.</t>
  </si>
  <si>
    <t xml:space="preserve">R397</t>
  </si>
  <si>
    <t xml:space="preserve">Adapting the BIKE Key Encapsulation Mechanism to Memory-Constrained IoT Devices</t>
  </si>
  <si>
    <t xml:space="preserve">Čatloch, D.; Pekarčík, P.; Chovancová, E.</t>
  </si>
  <si>
    <t xml:space="preserve">Cryptography</t>
  </si>
  <si>
    <t xml:space="preserve">10.3390/cryptography10020024</t>
  </si>
  <si>
    <t xml:space="preserve">Post-quantum cryptography represents one of the most promising areas of modern cryptography. The development in this discipline significantly accelerated after it became of interest to the National Institute of Standards and Technology (NIST). One of the important research directions in this area is the practical deployment of post-quantum cryptographic algorithms on resource-constrained devices. In this article, we investigate the possibility of deploying post-quantum cryptography on small processors with limited random access memory (RAM) capacity. These processors are commonly used in Internet of Things (IoT) devices, where the practical deployment of post-quantum algorithms remains challenging due to computational and memory constraints. We select a suitable algorithm and perform several implementation modifications that enable its execution on microcontrollers with limited memory resources. © 2026 by the authors.</t>
  </si>
  <si>
    <t xml:space="preserve">R398</t>
  </si>
  <si>
    <t xml:space="preserve">Research of Lightweight Encryption Algorithm Based on AES and Chaotic Sequences for Narrow-Band Internet of Things</t>
  </si>
  <si>
    <t xml:space="preserve">Shi, L.; Wang, Y.; Jia, R.; Peng, T.; Jiang, J.; Zhu, S.</t>
  </si>
  <si>
    <t xml:space="preserve">10.1007/978-3-030-32388-2_23</t>
  </si>
  <si>
    <t xml:space="preserve">Narrow-Band Internet of Things (NB-IoT), as a new LPWAN technology, has been applied in many fields, such as smart meter, smart parking, and so on. However, the security issues have become an important factor restricting rapid development of NB-IoT. A lightweight encryption algorithm based on AES and chaotic sequences (LCHAOSAES) is proposed to solve the data security in NB-IoT applications. Firstly, by reducing the number of AES (Advanced Encryption Standard) rounds and combining the three steps of ‘SubBytes’, ‘ShiftRows’ and ‘MixColumns’, time efficiency of LCHAOSAES is improved. Secondly, in order to make LCHAOSAES more secure, Logistic and Tent chaotic systems are adopted to generate dynamic keys for encryption. Finally, the remaining plaintext is encrypted by the keys, which are generated by Logistic and Tent chaotic systems, so that the length of the plaintext is equal to ciphertext. Theoretical analysis and field experiments performed in NB-IoT scenarios highlight significant performance when compared with, for instance, AES_128, LAES. © 2019, ICST Institute for Computer Sciences, Social Informatics and Telecommunications Engineering.</t>
  </si>
  <si>
    <t xml:space="preserve">R399</t>
  </si>
  <si>
    <t xml:space="preserve">SPIDER: Lightweight Speaker Identification on Resource-Constrained Embedded Devices</t>
  </si>
  <si>
    <t xml:space="preserve">Gallacher, M.; Boano, C.A.; Pillai, A.S.M.S.; Roedig, U.; Lunardi, W.; Baddeley, M.</t>
  </si>
  <si>
    <t xml:space="preserve">SenSys 2026 - Proceedings of the 2026 ACM/IEEE International Conference on Embedded Artificial Intelligence and Sensing Systems, Part of CPS-IoTWeek 2026</t>
  </si>
  <si>
    <t xml:space="preserve">10.1145/3774906.3800492</t>
  </si>
  <si>
    <t xml:space="preserve">Voice-based Speaker Identification (SI) can be framed as the problem of Closed-Set Speaker Identification (CSSI), recognizing a speaker from a known set, or OSSI, additionally recognizing unknown speakers. Precise and accurate Open-Set Speaker Identification (SI) can enable a variety of applications, ranging from human presence detection to authentication. Existing SI solutions are typically driven by deep learning approaches, which involve computationally demanding models often running in cloud back-ends. Enabling local SI models running directly on resource-constrained embedded devices can enable new use cases while preserving speaker privacy. In this work, we fill this gap and present SPIDER, a lightweight, on-device CSSI and OSSI solution capable of running on the off-the-shelf Nordic nRF52840 and nRF5340 system-on-chip microcontrollers, which feature as little as 256 and 512 kB of RAM, respectively, and 1 MB of flash memory. SPIDER is 16x-67x smaller than currently-available SI models, and yet, the 16x smaller version achieves a comparable accuracy of 94.33 % for CSSI and 91.8% for OSSI. Our evaluation across multiple datasets confirms the viability of performing accurate SI directly on resource-constrained embedded devices using only low-cost microphones. To foster further research and development, we open source our implementation of SPIDER, empowering the community to explore new SI use cases where cloud connectivity or backhaul infrastructure is impractical or undesirable. © 2026 Copyright held by the owner/author(s).</t>
  </si>
  <si>
    <t xml:space="preserve">R400</t>
  </si>
  <si>
    <t xml:space="preserve">Toward Efficient Deep Learning in RF Fingerprint Identification With OverlapConv</t>
  </si>
  <si>
    <t xml:space="preserve">Shen, Y.; Zeng, S.; Tan, Z.; Shen, Y.; Zhao, D.; Song, H.H.</t>
  </si>
  <si>
    <t xml:space="preserve">10.1109/jiot.2026.3670435</t>
  </si>
  <si>
    <t xml:space="preserve">In resource-constrained Internet of Things (IoT) environments, lightweight deep learning is crucial for radio frequency fingerprint identification (RFFI). However, existing lightweight designs primarily rely on group convolution with a 'hard split' topology, which strictly isolates channels and blocks intergroup information sharing, impairing feature extraction. To address this, we propose overlap convolution, a novel operator employing a 'soft coverage' mechanism to facilitate intergroup interaction. By enabling tunable channel overlapping, this method unifies and generalizes standard and group convolutions, restoring intergroup interaction without requiring additional mixing. We then analyze the approach by introducing structural constraint entropy as an interpretive framework to investigate the information flow capacity. Theoretical analysis demonstrates that overlap convolution offers expanded structural flexibility to achieve enhanced learning ability. Furthermore, we establish the OverlapConv framework for systematic integration of the operator into networks. Within this framework, we develop an automatic parameter acquisition strategy based on a differentiable-to-discrete transition mechanism to efficiently narrow down the search space for optimal settings. Extensive evaluations across diverse datasets (LoRa and UAV RFFI) and multiple backbones (MobileNet, ShuffleNet, and EfficientNet) confirm the method's effectiveness as a universal plug-and-play module. Notably, our approach achieves an accuracy gain of 29.22% on the FireBlock, and improves the accuracy (averaging 2.1% and 2.47% on the two datasets) of FasterNet, EfficientNet, and LMSCNet with reduced FLOPs. © 2014 IEEE.</t>
  </si>
  <si>
    <t xml:space="preserve">R401</t>
  </si>
  <si>
    <t xml:space="preserve">A Hybrid Blockchain-Backed Authentication Framework for Resilient and Lightweight IoT over MQTT</t>
  </si>
  <si>
    <t xml:space="preserve">Toe, E.; Yelemou, T.; Some, D.F.</t>
  </si>
  <si>
    <t xml:space="preserve">2025 IEEE Global Conference on Artificial Intelligence and Internet of Things, GCAIoT 2025</t>
  </si>
  <si>
    <t xml:space="preserve">10.1109/gcaiot68269.2025.11275556</t>
  </si>
  <si>
    <t xml:space="preserve">The rapid adoption of IoT technologies in both residential and industrial environments has made lightweight communication protocols such as Message Queuing Telemetry Transport (MQTT). However, MQTT's native authentication mechanisms, based on static credentials, remain vulnerable to attacks such as credential theft, replay, and denial of service. In this paper, we propose a hybrid secure and resilient authentication framework that combines the dynamic properties of One-Time Passwords (OTP) with the decentralized trust and auditability of blockchain-based smart contracts. The proposed system allows each IoT device to generate a session-specific OTP, which is then verified both locally and on-chain, ensuring robust protection against spoofing and tampering. In order to enhance system resilience, a key contribution that distinguishes this blockchain-OTP scheme from prior art is to integrate an autonomous broker failover mechanism. This mechanism enables seamless switching to secondary brokers during failures or attacks. Experimental evaluations conducted on constrained devices (Raspberry Pi 4, ESP32) and a simulated Ethereum blockchain show that the proposed framework achieves strong security guarantees with minimal computational and bandwidth overhead, while remaining compatible with standard MQTT deployments. This approach provides a scalable and tamperproof solution for secure IoT authentication in dynamic and adversarial environments. © 2025 IEEE.</t>
  </si>
  <si>
    <t xml:space="preserve">R402</t>
  </si>
  <si>
    <t xml:space="preserve">Tailoring AES for resource-constrained IoT devices</t>
  </si>
  <si>
    <t xml:space="preserve">Saleh, S.S.; Al-Awamry, A.A.; Taha, A.</t>
  </si>
  <si>
    <t xml:space="preserve">10.11591/ijeecs.v36.i1.pp290-301</t>
  </si>
  <si>
    <t xml:space="preserve">The internet of things (IoT) is a network of interconnected hardware, software, and many infrastructures that require cryptography solutions to provide security. IoT security is a critical concern, and it can be settled by using cryptographic algorithms such as advanced encryption standard (AES) for encryption and authentication. A fundamental component within the AES algorithm is the substitution box (S-box), which generates confusion and nonlinearity between plaintext and ciphertext, strengthening the process of security. This paper introduces a comparative analysis to offer valuable knowledge of the factors related to different S-box modifications, which will ultimately affect the design of cryptographic systems that use the AES algorithm. Then, a tailored AES algorithm is proposed for resource-constrained IoT devices by changing the standard S-box with another S-box. The new S-box reduces the rounds number and the time needed for the AES algorithm’s encryption, decryption, and key expansion. The performance of the proposed AES is assessed through various experiments. Therefore, our tailored AES with the new S-box is more secure and efficient than AES with a standard S-box. © 2024 Institute of Advanced Engineering and Science. All rights reserved.</t>
  </si>
  <si>
    <t xml:space="preserve">R403</t>
  </si>
  <si>
    <t xml:space="preserve">Embedded Electronic Nose for Smell-Based Biometric Authentication</t>
  </si>
  <si>
    <t xml:space="preserve">Karthik, P.; Munuganti, R.V.M.D.; Gnaneswar, R.; Belwal, M.</t>
  </si>
  <si>
    <t xml:space="preserve">Proceedings of the 4th International Conference on Inventive Computing and Informatics, ICICI 2026</t>
  </si>
  <si>
    <t xml:space="preserve">10.1109/icici68773.2026.11580525</t>
  </si>
  <si>
    <t xml:space="preserve">Smell-based authentication is a novel alternative to conventional security mechanisms. However, practical implementations of embedded security and biometric authentication remain limited within this domain. While research into electronic noses is being pursued, most of the existing solutions are based on complex, high-cost instrumentation. There is thus a definite need for developing portable, low-cost, and real-time systems. In this regard, this work proposes OSAS- the Olfactory Sensing Authentication System, a robust embedded framework for odor recognition based on low-cost gas sensors and ondevice machine learning. The OSAS system integrates MQ-2, MQ-3, and MQ-135 gas sensors with an ESP32-S3 microcontroller in an attempt to capture the volatile chemical signature that comes out of different perfume samples. Comprehensive preprocessing steps like temperature-humidity compensation, signal smoothing, environmental normalization, and automated removal of residual odor interference have been done to enhance the quality of the signal. Statistical features will be extracted from the Flatten block and then classification using a Fully Connected Neural Network is done, which has been deployed on the microcontroller. Experimental results demonstrate the OSAS system's effectiveness with a classification accuracy of 92.2%. An OLED display is used to enhance interpretability, while a servo actuator, buck converter, and automated fan mechanism support operational reliability. These findings demonstrate the prospect of a VOC(Volatile Organic Compounds)-based authentication technique as a novel and promising non-intrusive, hard-to-forge, and efficient approach to embedded security. © 2026 IEEE.</t>
  </si>
  <si>
    <t xml:space="preserve">R404</t>
  </si>
  <si>
    <t xml:space="preserve">Lightweight Cryptography-Enhanced Federated Learning for Secure IoT Environments</t>
  </si>
  <si>
    <t xml:space="preserve">Tursynbek, Y.; Albanbay, N.; Djenouri, D.; Latif, S.; Usskenbayeva, R.</t>
  </si>
  <si>
    <t xml:space="preserve">SIST 2026 - 2026 IEEE 6th International Conference on Smart Information Systems and Technologies, Conference Proceedings</t>
  </si>
  <si>
    <t xml:space="preserve">10.1109/sist61674.2026.11596099</t>
  </si>
  <si>
    <t xml:space="preserve">Federated learning (FL) enables collaborative model training in Internet of Things (IoT) environments while preserving data locality; however, transmitted model updates remain vulnerable to eavesdropping and in-transit tampering over insecure communication channels. This paper presents a hardware-level evaluation of lightweight cryptographic protection for FL update exchange on resource-constrained ESP32 devices. In the proposed framework, client-side model updates are protected during transmission using the lightweight block ciphers SIMON, SPECK, and PRESENT with integrity verification. The framework was evaluated on the CICIoT2023 dataset under a practical FL setting with three clients and five communication rounds. The main focus of the study is the analysis of securityinduced overhead in terms of RAM/ROM footprint, encryption and decryption latency, throughput, and energy consumption. In addition, the impact of protected update exchange on FL model performance was assessed. The results show that SPECK provides the most favorable efficiency on ESP32, achieving an encryption latency of 0.1348 μs/B and energy consumption of 138.3 mJ, while the protected federated model achieved 89.12% accuracy and outperformed the centralized baseline of 86.15 % under the evaluated conditions. These findings demonstrate that lightweight confidentiality and integrity protection can be integrated into FL update exchange on microcontroller-class IoT devices with practical overhead.  © 2026 IEEE.</t>
  </si>
  <si>
    <t xml:space="preserve">R405</t>
  </si>
  <si>
    <t xml:space="preserve">Realistic Modelling and Optimization of DTLS Handshakes in Constrained LPWAN Environments</t>
  </si>
  <si>
    <t xml:space="preserve">Mathew, A.S.; Sikora, A.</t>
  </si>
  <si>
    <t xml:space="preserve">Proceedings of the 2025 IEEE International Conference on Computer, Information, and Telecommunication Systems, CITS 2025</t>
  </si>
  <si>
    <t xml:space="preserve">10.1109/cits65975.2025.11099413</t>
  </si>
  <si>
    <t xml:space="preserve">With the growing popularity of Low Power Wide Area Networks (LPWANs) in large-scale Internet of Things (IoT) deployments, ensuring secure yet efficient communication presents a significant challenge. Datagram Transport Layer Security (DTLS) is designed to provide end-to-end security. However, there is a substantial communication overhead associated with DTLS that makes it impractical for resource-constrained environments, such as Low Power Wide Area Networks (LPWANs). This paper presents a simulation-based evaluation of the DTLS handshake performance over two major LPWAN technologies - LoRaWAN and mioty - incorporating realistic network conditions, including packet loss, duty cycle limitations, and message fragmentation. Unlike prior studies based on idealized airtime models, our approach provides actionable insights into real-world performance. We also utilize the Static Context Header Compression(SCHC) mechanism to reduce protocol overhead, achieving around 60% reductions in both handshake duration and message size. Furthermore, we compare the performance of DTLS handshake variants, analyzing trade-offs between certificate-based and Pre-Shared Key (PSK) authentication in constrained environments. Our research is highly relevant for the development of secure and efficient IoT communication protocols by contributing to the ongoing optimization efforts. © 2025 IEEE.</t>
  </si>
  <si>
    <t xml:space="preserve">R406</t>
  </si>
  <si>
    <t xml:space="preserve">Application of the Ascon-Aead128 Algorithm for IoT Data Security</t>
  </si>
  <si>
    <t xml:space="preserve">Huong, N.T.M.; Van Nam, T.; Van Phat, P.</t>
  </si>
  <si>
    <t xml:space="preserve">2026 11th International Conference on Applying New Technology in Green Buildings, ATiGB 2026</t>
  </si>
  <si>
    <t xml:space="preserve">10.1109/atigb70203.2026.11628316</t>
  </si>
  <si>
    <t xml:space="preserve">Ensuring data security and integrity in resourceconstrained embedded systems remains a significant challenge for conventional cryptographic algorithms due to their high computational and energy costs. Lightweight cryptography (LWC) addresses this issue by optimizing performance for constrained hardware platforms. Among LWC candidates, Ascon-AEAD128, selected as a standard by NIST [1], stands out due to its authenticated encryption with associated data (AEAD) scheme, simple permutation-based structure, and high efficiency in both hardware and software implementations. This paper presents the implementation and performance evaluation of Ascon-AEAD128 on two heterogeneous hardware platforms, namely ESP32-C6 and Raspberry Pi 4, representing different classes of embedded devices. Performance is analyzed in terms of throughput (MB/s) and computational cost (cycles/byte) across multiple payload sizes. Experimental results show that, for a 16-byte payload, the throughput reaches 2.449 MB/s (612.48 cycles/byte) on Raspberry Pi 4 and 0.504 MB/s (317.23 cycles/byte) on ESP32-C6. When the payload increases to 128 bytes, the performance improves to 8.834 MB/s (170.41 cycles/byte) and 1.541 MB/s (103.86 cycles/byte), respectively. In addition, an end-to-end LoRa transmission test using an 11-byte weather data payload was conducted. A total of 10,000 encrypted packets were transmitted from the ESP32-C6 node to the Raspberry Pi 4 gateway, with 0 authentication failures and 0 payload recovery errors observed. These results demonstrate that Ascon-AEAD128 is a suitable option for secure data transmission under the tested LoRa-based IoT conditions in resource-constrained embedded systems.  © 2026 IEEE.</t>
  </si>
  <si>
    <t xml:space="preserve">R407</t>
  </si>
  <si>
    <t xml:space="preserve">Evaluation of NIST Lightweight Cryptography Algorithms for Industrial Internet of Things</t>
  </si>
  <si>
    <t xml:space="preserve">Al-Shmailawi, H.A.; Al-Hemiary, E.H.; Sikora, A.</t>
  </si>
  <si>
    <t xml:space="preserve">Proceedings of the IEEE International Conference on Intelligent Data Acquisition and Advanced Computing Systems: Technology and Applications, IDAACS</t>
  </si>
  <si>
    <t xml:space="preserve">10.1109/idaacs68557.2025.11322258</t>
  </si>
  <si>
    <t xml:space="preserve">Lightweight cryptography (LWC) has gained abundant attention lately, especially when discussing security in Industrial Internet of Things (IIoT) applications and other systems with constrained resources. IoT has raised various security issues, highlighting the necessity for protection mechanisms. Traditional cryptographic algorithms, such as AES, require significant memory and processing power. LWC, on the other hand, promises security solutions that can meet the needs of IIoT devices with constrained resources. This paper systematically investigates how well the selected algorithms from the NIST CAESAR competition (Ascon, TinyJambu, Schwaemm, Xoodyak, Elephant, Photon-Beetle, and Grain) perform in deeply embedded systems, such as ESP32 microcontrollers. The main contributions of this study include a comprehensive evaluation, including throughput, performance on various data sizes, an initialization time of LWC algorithms, memory usage, CPU utilization, and randomness analysis, along with the calculation of a target function based on critical metrics in IIoT environments. The findings were that ASCON outperformed TinyJambu regarding cryptographic statistical analysis and performance at the expense of highly required memory. When data sizes are less than 64 bytes, TinyJambu, similar to Ascon, offers outstanding throughput and efficiency in memory utilization compared to other LWCs. When comparing LWC results to AES, the throughput, latency, and other metrics of Ascon, TinyJambu, Schwweam, Gift, and Xoodyak were significantly higher. The outcomes of LWC showed encouraging performance, highlighting the lightweight cryptographic algorithm's potential for use in upcoming IIoT applications. © 2025 IEEE.</t>
  </si>
  <si>
    <t xml:space="preserve">R408</t>
  </si>
  <si>
    <t xml:space="preserve">Lightweight Blockchain-Driven Intrusion Detection for Tamper-Proof and Distributed IoT Security</t>
  </si>
  <si>
    <t xml:space="preserve">Gupta, A.; Jain, V.; Rajput, I.S.; Ji, S.</t>
  </si>
  <si>
    <t xml:space="preserve">2025 2nd International Conference on Advanced Computing and Emerging Technologies, ACET 2025</t>
  </si>
  <si>
    <t xml:space="preserve">10.1109/acet67282.2025.11430274</t>
  </si>
  <si>
    <t xml:space="preserve">The proliferation of heterogeneous and resource constrained Internet of Things (IoT) devices has intensified the need for lightweight, tamper-proof, and decentralized intrusion detection mechanisms. This paper proposes a lightweight intrusion detection framework that integrates Gaussian Mixture Model (GMM)-based statistical anomaly detection with a permissioned Ethereum blockchain operating under the Dele gated Byzantine Fault Tolerance (dBFT) consensus mechanism. The system architecture comprises local intrusion detection agents that monitor network traffic at the device level, extract statistical features in real time, and compute anomaly scores via a probabilistic GMM. Upon detecting persistent anomalies, agents encapsulate cryptographically signed alerts containing hashed evidence and severity levels. These alerts are submitted to the blockchain layer, where Solidity-based smart contracts automate alert verification, quorum based consensus, and dynamic trust score management. The framework was evaluated using the TON-IoT dataset in a hybrid testbed of Raspberry Pi 4B and ESP32 devices. Experimental results demonstrate a detection accuracy of 97.8%, with a precision of 96.9%, recall of 98.6%, F1-score of 97.7%, and an average detection latency of 230 ms. Blockchain performance analysis confirms low transaction finality (2-4s) and minimal gas consumption for contract functions, validating the feasibility of deploying the framework in real-world IoT networks.  © 2025 IEEE.</t>
  </si>
  <si>
    <t xml:space="preserve">R409</t>
  </si>
  <si>
    <t xml:space="preserve">A Lightweight Hybrid Encryption Architecture for High-Telemetry Constrained IoT Devices</t>
  </si>
  <si>
    <t xml:space="preserve">Zahid, Z.; Ali, H.; Naeem, A.; Kamal, M.</t>
  </si>
  <si>
    <t xml:space="preserve">10.1109/siu71813.2026.11636899</t>
  </si>
  <si>
    <t xml:space="preserve">Constrained IoT devices producing high-frequency telemetry need authenticated encryption and key rotation but lack resources for full session-negotiation. Using static AES-GCM avoids protocol overhead but risks traffic exposure in the event of key compromise. We propose hybrid secure IoT communication (H-SIC) that offers lightweight key rotation without a session-negotiation stack. Bulk payload encryption employs hardware AES-128-GCM, while session-key derivation and key encapsulation operate in CPU software. A dual-tag binding authenticates keys and payloads separately, while a caching mechanism spreads out the cost of key wrapping over each packet epoch. It also prevents contention on the hardware cryptographic peripheral by limiting key management to software. Evaluation on ESP32 reveals 46 to 86 percent per-packet latency reduction via caching, a tunable security-performance trade-off, and a resource cost of only 15 KB flash and 200 B heap over raw AES-GCM. © 2026 IEEE.</t>
  </si>
  <si>
    <t xml:space="preserve">R410</t>
  </si>
  <si>
    <t xml:space="preserve">Securing resource-constrained IoMT devices with an ultra-lightweight cryptographic framework</t>
  </si>
  <si>
    <t xml:space="preserve">Rasheed, A.M.; Kumar, R.M.S.; Ganapathiyappan, K.; Ajayan, A.; Rehman, A.U.; Altameem, A.; Almogren, A.</t>
  </si>
  <si>
    <t xml:space="preserve">10.7717/peerj-cs.3715</t>
  </si>
  <si>
    <t xml:space="preserve">The Internet of Medical Things (IoMT) increasingly relies on continuous sensing and cloud-assisted diagnostics, yet its devices operate under stringent resource constraints that limit the deployment of conventional cryptographic mechanisms. To address this challenge, we propose a lightweight encryption framework that integrates the National Institute of Standards and Technology (NIST)-standardized ASCON-v1.2 authenticated encryption scheme with two optimization strategies: Hypercube Optimal Search (HOS) and Modified Wild Geese (MWG). The framework systematically explores ASCON's implementation-level parameter space and identifies configurations that preserve security margins while reducing computational cost, latency, and energy consumption on constrained IoMT hardware. HOS performs multidimensional search and contraction over feasible parameter regions, whereas MWG provides adaptive local refinement to optimise performance under varying device conditions. An experimental evaluation of publicly available medical image datasets demonstrates that the proposed HOS + MWG + ASCON pipeline enhances diffusion and randomness characteristics while reducing execution time compared to baseline ASCON configurations. Quantitative assessments using Peak Signal-to-Noise Ratio (PSNR), Mean Squared Error (MSE), Structural Similarity Index Measure (SSIM), Number of Pixels Change Rate (NPCR), Unified Average Changing Intensity (UACI), entropy, correlation coefficients (CC), and Bit Error Rate (BER) confirm the robustness of the system against statistical, differential, and structural inference attacks. Hardware tests on an ESP32-S3 platform further validate the framework's energy efficiency and reliability under realistic IoMT constraints. Overall, this work presents a scalable, computationally efficient, and security-preserving encryption solution tailored for real-time IoMT deployments, where confidentiality, latency, and energy efficiency are all critical. © Copyright 2026 Rasheed et al. Distributed under Creative Commons CC-BY 4.0. http://www.creativecommons.org/licenses/by/4.0/.</t>
  </si>
  <si>
    <t xml:space="preserve">R411</t>
  </si>
  <si>
    <t xml:space="preserve">Secure Command Authentication for Drone Control Using ECDSA</t>
  </si>
  <si>
    <t xml:space="preserve">Kartheek, V.S.; Santhadevi, D.</t>
  </si>
  <si>
    <t xml:space="preserve">Proceedings - 2025 IEEE International Symposium on Smart Electronic Systems, iSES 2025</t>
  </si>
  <si>
    <t xml:space="preserve">10.1109/ises67504.2025.00087</t>
  </si>
  <si>
    <t xml:space="preserve">Unmanned Aerial Vehicles (UAVs) or the so-called drones increasingly use wireless protocols like Wi-Fi for remote control due to their accessibility and ease of deployment. This, however, exposes the control channel to bad security attacks like spoofing, command injection, and replay attacks. Though encryption is commonly used for protecting the communication, in this work, we present a different approach: protecting the control of a drone by authenticating each command so that only commands from a valid controller are executed. We use a lightweight, publickey cryptography-based scheme on top of the Elliptic Curve Digital Signature Algorithm (ECDSA) to authenticate one-way transmissions of commands. To protect against replay attacks without relying on a persistent connection, a timestamp-based verification mechanism is employed. Implemented on an ESP32 drone(quadcopter), our system demonstrates that command level authentication can effectively prevent unauthorized access and tampering, yet remain effective on resource constrained embedded systems. We compare the proposed method to AESGCM, RSA 2048, and unencrypted UDP, measuring latency and performance. The results verify that drone command authentication is an efficient, scalable, and secure control solution where authentication, rather than traditional encryption, is an achievable paradigm for securing UAV control systems.  © 2025 IEEE.</t>
  </si>
  <si>
    <t xml:space="preserve">R412</t>
  </si>
  <si>
    <t xml:space="preserve">LoRa-PRIME: A Novel Secret Key Generation Framework Based on Periodic Bit Reversal and Modified Adaptive Quantization for Robust Cooperative Jamming LoRa Relay Networks</t>
  </si>
  <si>
    <t xml:space="preserve">Anisah, I.; Yuliana, M.</t>
  </si>
  <si>
    <t xml:space="preserve">10.1109/ojcoms.2026.3672889</t>
  </si>
  <si>
    <t xml:space="preserve">Physical-layer secret key generation (SKG) offers a lightweight security approach for resource-constrained Internet of Things (IoT) devices. However, most existing methods are designed for direct links and do not explicitly address relay-assisted LoRa networks. This paper presents LoRa-PRIME, an SKG framework that combines channel probing, Savitzky–Golay preprocessing, modified Adaptive Dual-Threshold Quantization (ADQ), Bose–Chaudhuri–Hocquenghem (BCH) reconciliation, Periodic Reversal for Keying (PRK) randomness enhancement, and SHA-256 privacy amplification. Experiments were conducted using real LoRa devices under indoor line-of-sight (LOS), indoor non-LOS, and outdoor non-LOS conditions. Savitzky–Golay filtering increased channel correlation (e.g., from 0.7595 to 0.8443 in indoor LOS), supporting reliable key extraction. The 4-bit modified ADQ achieved higher key agreement rates (up to 0.9745) and key generation rates (up to 33.04 bps) compared with Sky-Glow, while reducing key generation time to 7.75 s/key. PRK improved randomness quality, increasing the number of NIST-compliant keys from 4 to 14 in indoor LOS and showing similar improvements in other environments. Complexity analysis indicates approximately linear O(N)scalability, with more than 85% of execution time dominated by channel probing, while signal processing and cryptographic stages introduce minimal overhead. The measured energy consumption is 6.619 J per key, lower than several reported LoRa-based SKG implementations. These results suggest that LoRa-PRIME provides an efficient and practical SKG solution for relay-assisted LoRa IoT deployments. © 2020 IEEE.</t>
  </si>
  <si>
    <t xml:space="preserve">R413</t>
  </si>
  <si>
    <t xml:space="preserve">FogGuard: A Middleware System for Secure Machine Learning on Local IoT Devices</t>
  </si>
  <si>
    <t xml:space="preserve">Kumar, B.S.; Srivani, P.; Kalyani, D.; Adudhodla, M.; Reddy, J.R.; Kumar Reddy Manellore, P.</t>
  </si>
  <si>
    <t xml:space="preserve">Proceedings of the 7th International Conference on Innovative Data Communication Technologies and Application, ICIDCA 2025</t>
  </si>
  <si>
    <t xml:space="preserve">10.1109/icidca66325.2025.11280454</t>
  </si>
  <si>
    <t xml:space="preserve">The rapid growth of Internet of Things devices has created a demand for intelligent, real-time data processing. However, running ML models directly on resource-constrained devices or relying on distant cloud servers brings major issues like delays, privacy risks, and energy consumption. This paper introduces FogGuard, a middleware system designed to facilitate secure and efficient ML execution on local edge nodes within an IoT environment. The FogGuard system employs a lightweight architecture that intercepts sensor data, performs localized ML-based anomaly detection, and ensures secure communication between devices and the application layer. The methodology involved a quantitative experimental study where FogGuard was implemented using Raspberry Pi as an edge node and ESP32 devices as sensors. Performance was evaluated against a traditional cloud-centric model. The results demonstrate that FogGuard reduces the average end-to-end latency for threat detection by 72% (from 450ms to 125ms) and decreases device power consumption by 18% due to reduced data transmission. Furthermore, the embedded ML model successfully identified 96.5% of simulated injection attacks. This study concludes that edge-based middleware like FogGuard presents a viable and highly efficient solution for deploying secure, intelligent applications in latency-sensitive and privacy-conscious IoT ecosystems.  © 2025 IEEE.</t>
  </si>
  <si>
    <t xml:space="preserve">R414</t>
  </si>
  <si>
    <t xml:space="preserve">Securing Data Transmission in IoT Devices Using Wireguard VPN</t>
  </si>
  <si>
    <t xml:space="preserve">Purba, C.M.; Ibnugraha, P.D.</t>
  </si>
  <si>
    <t xml:space="preserve">2025 IEEE International Conference on Artificial Intelligence and Mechatronics Systems, AIMS 2025</t>
  </si>
  <si>
    <t xml:space="preserve">10.1109/aims66189.2025.11229500</t>
  </si>
  <si>
    <t xml:space="preserve">This study investigates the feasibility and performance impact of implementing WireGuard VPN on ESP32-based IoT devices, focusing on security, resource utilization, and network efficiency. Using the ESP-IDF v4.4 development framework and FreeRTOS operating system, performance metrics were evaluated over 10 data transmission cycles for both VPN-enabled and non-VPN configurations. Measurements were obtained via internal APIs for memory profiling, latency measurement, and CPU utilization tracking. Results indicate that WireGuard increases heap memory usage by 13.7%, static DRAM usage by 4.2% (from 30,520 bytes to 31,804 bytes), and flash memory usage by 5.2% (from 679,255 bytes to 714,603 bytes), all within ESP32's operational limits. CPU utilization increased by 144.4% in relative terms but remained below 1% in absolute values, demonstrating the efficiency of WireGuard implementation. Latency rose from 23.1 ms to 665.0 ms due to encryption and tunneling overhead but remained acceptable for IoT applications transmitting data periodically. Wireshark analysis confirmed that WireGuard effectively encrypts data, preventing payload interception, with a modest packet overhead of 40-60 bytes. efficient communication. This study highlights WireGuard's viability for resource-constrained IoT environments, demonstrating robust security with minimal performance impact. Future work will explore scalability in larger IoT ecosystems and performance under dynamic network conditions.  © 2025 IEEE.</t>
  </si>
  <si>
    <t xml:space="preserve">R415</t>
  </si>
  <si>
    <t xml:space="preserve">Lightweight Secure Communication Protocol for IoT Devices Using ECDH and Spritz</t>
  </si>
  <si>
    <t xml:space="preserve">Alkadi, S.; Khan, M.U.; Alsabhan, W.</t>
  </si>
  <si>
    <t xml:space="preserve">10.1109/inmic65900.2025.11348580</t>
  </si>
  <si>
    <t xml:space="preserve">This study proposes a lightweight secure communication protocol for Internet of Things operating in resource-constrained environments. The protocol introduces a wired PIN-based pre-authentication phase to verify device identity, followed by a wireless handshake that uses elliptic curve Diffie–Hellman to establish a shared session key. To ensure confidentiality, a modified version of the Spritz stream cipher is used to encrypt messages between devices. The protocol was implemented using Python and tested with two simulated ESP32 devices in Wokwi, with message transmission handled via the HiveMQ MQTT broker. Results demonstrate successful authentication, key agreement, and encrypted data exchange, supporting the protocol’s effectiveness in lightweight, real-time IoT systems. ©2025 IEEE.</t>
  </si>
  <si>
    <t xml:space="preserve">R416</t>
  </si>
  <si>
    <t xml:space="preserve">Comparative analysis of a novel smart contract-based hybrid access control model for blockchain-enabled secure IoT home automation systems</t>
  </si>
  <si>
    <t xml:space="preserve">Dadhich, A.; Keswani, B.; Goyal, D.</t>
  </si>
  <si>
    <t xml:space="preserve">10.47974/jdmsc-2558</t>
  </si>
  <si>
    <t xml:space="preserve">The rapid growth of Internet of Things (IoT)-enabled smart home environments has amplified the need for robust, scalable, and context-aware access control mechanisms. Traditional Role-Based Access Control (RBAC) and Attribute-Based Access Control (ABAC) models offer distinct advantages such as hierarchical simplicity and contextual granularity, respectively, yet exhibit critical limitations when deployed in isolation. To address these constraints, this study proposes and implements a discrete, hybrid RBAC–ABAC access control framework, engineered as a smart contract on the Binance Smart Chain (BSC), to ensure a secure, decentralized model for managing access to IoT resources. The framework leverages blockchain’s inherent strengths cryptographic integrity, immutable message digests, and tamper-resistant audit trails to reinforce data confidentiality and policy enforcement. Validated on a real-world testbed comprising ESP32-based IoT devices, a Raspberry Pi gateway, and a blockchain backend, the proposed system demonstrates enhanced resilience and trust. Quantitative evaluations benchmark the hybrid model against standalone RBAC and ABAC mechanisms across key metrics, including gas consumption, access latency, access decision accuracy, and scalability. The results indicate the hybrid model achieves superior accuracy (97.2%) and scalability (supporting 50 concurrent users and 30 devices), with moderate gas usage (15,000 gwei) and acceptable latency (1.8 seconds). Furthermore, the use of laser-secure transaction protocols and cryptographic primitives within the smart contract enhances the protection of access rights and resource interactions. This hybrid smart contract architecture not only bridges the gap between theoretical access control models and practical blockchain deployments but also sets a foundation for adaptive, secure, and decentralized policy enforcement in next-generation smart homes, particularly in resource-constrained environments. © 2025, Taru Publications. All rights reserved.</t>
  </si>
  <si>
    <t xml:space="preserve">R417</t>
  </si>
  <si>
    <t xml:space="preserve">Secure IoT Communications With Optimized AES and Dynamic Threat Modeling on Embedded System</t>
  </si>
  <si>
    <t xml:space="preserve">Mondal, K.K.; Sikarwar, H.; Das, D.; Fan, C.-I.</t>
  </si>
  <si>
    <t xml:space="preserve">10.1109/tce.2025.3645059</t>
  </si>
  <si>
    <t xml:space="preserve">This paper presents a hardware cryptographic solution that leverages an InvenSense 6-axis Motion Processing Unit (MPU6050) sensor and an ESP32 microcontroller to address the need for secure and efficient communication in resource-constrained Internet of Things (IoT) devices, we introduce a hardware-conscious, lightweight AES-128 with a two-phase (4-bit) S-box and simplified MixColumns over GF(28), integrated with Elliptic Curve Diffie-Hellman (ECDH) for forward-secret key establishment, and a dynamic threatmodeling algorithm that quantifies risk and triggers targeted mitigations. A reconfigurable architecture physically separates block-cipher and hash paths, enabling concurrent operations needed by protocols such as TLS/IPsec. On ESP32, our device reduces encryption time by up to 42.4% compared to representative baselines; it achieves 28.57% at 100KB and 30% at 50 KB. Energy consumption decreases by 16.7%-28.57% across payloads, while throughput reaches 435 Mbps (about +3.57% over the strongest comparator at 500 KB). The onetime ECDH overhead is 8.1 ms/1.14mJ and amortizes to &lt;5% of total energy for payloads &gt;100 KB. These results, obtained under rigorous experimental profiling, demonstrate that the proposed hardware-algorithm co-design delivers a secure, highperformance, and energy-efficient cryptographic substrate for diverse IoT deployments, strengthening both confidentiality and resilience while fitting tight resource budgets.  © 2025 IEEE.</t>
  </si>
  <si>
    <t xml:space="preserve">R418</t>
  </si>
  <si>
    <t xml:space="preserve">CIP-BaseX: A Lightweight RFC 4648-Compatible Obfuscation Layer Against IoT Payload Fingerprinting</t>
  </si>
  <si>
    <t xml:space="preserve">Huang, G.-C.</t>
  </si>
  <si>
    <t xml:space="preserve">10.1109/jiot.2026.3684991</t>
  </si>
  <si>
    <t xml:space="preserve">Standard Base16/32/64 encodings (RFC 4648) are fundamental to modern data transmission but rely on static lookup tables, producing deterministic outputs that expose encrypted traffic to payload fingerprinting and statistical analysis. To mitigate these risks in resource-constrained Internet of Things (IoT) environments, this research introduces Chaos-Index-Permuted BaseX (CIP-BaseX), a lightweight traffic obfuscation scheme that leverages deterministic chaos to inject seed-driven variability into standard encodings. Chaotic maps (e.g., Logistic, Tent, and Hénon) are utilized to generate dynamic sequences, which are mapped to discrete indices via a rank-based sorting algorithm. This process creates a dynamically permuted alphabet that remains 100% format-compatible with RFC 4648, preserving character sets and padding rules. Experimental validation on ESP32-S3 and RP2040 microcontrollers demonstrates that the O(n \log n) permutation overhead is negligible, with index generation times ranging from 51 to 345μ s on ESP32-S3. Statistical analysis confirms strong dispersion, achieving near-maximal Hamming distance (HD) (e.g., HD ≥ 59 for Base64) and near-random rank correlation (τ ≈0 ) against standard tables. CIP-BaseX does not provide cryptographic confidentiality and is not intended to replace encryption; rather, it operates as a format-preserving variability layer to disrupt deterministic BaseX fingerprints. Unlike heavy cryptosystems, CIP-BaseX is defined as a dynamic representation layer within encrypt-then-encode pipelines, effectively thwarting static pattern recognition in text-based communication channels.  © 2014 IEEE.</t>
  </si>
  <si>
    <t xml:space="preserve">R419</t>
  </si>
  <si>
    <t xml:space="preserve">Developing a Prototype for Enhancing Data Security in LoRa-Based Theft Detection Systems Using ASCON-128 Encryption</t>
  </si>
  <si>
    <t xml:space="preserve">Amelia, F.; Hartejo, B.W.</t>
  </si>
  <si>
    <t xml:space="preserve">Indonesian Journal of Electrical Engineering and Informatics</t>
  </si>
  <si>
    <t xml:space="preserve">10.52549/ijeei.v13i1.6021</t>
  </si>
  <si>
    <t xml:space="preserve">Asset protection is crucial for organizations to prevent theft. This study presents a LoRa-based theft detection prototype enhanced with ASCON-128 encryption for secure data transmission. The system consists of a transmitter attached to assets and a receiver in a monitoring room, featuring a web-based digital map for real-time tracking. ASCON-128, a NIST-standard lightweight encryption algorithm, ensures data confidentiality and integrity against Man-In-The-Middle (MITM) attacks. The system was evaluated based on transmission speed, power consumption, and security performance. Results indicate that ASCON-128 integration reduces data transmission speed by 42.7% in Line-of-Sight (LOS) and 45.35% in Non-Line-of-Sight (NLOS) conditions. Power consumption increased by 2.7% in standby mode and 12.85% under simulated attack scenarios. Despite these trade-offs, encryption provides significant security benefits with acceptable resource overhead, making it a viable solution for LoRa-based asset tracking and theft detection. © 2025 Institute of Advanced Engineering and Science. All rights reserved.</t>
  </si>
  <si>
    <t xml:space="preserve">R420</t>
  </si>
  <si>
    <t xml:space="preserve">Exploring hardware implementation feasibility of post-quantum cryptography in embedded systems: Evaluation of NIST-standardized ML-KEM, ML-DSA and SLH-DSA on ESP32-C6</t>
  </si>
  <si>
    <t xml:space="preserve">Karcz, D.P.; Niemiec, M.; Kourtis, M.A.; Köppl, T.</t>
  </si>
  <si>
    <t xml:space="preserve">PLOS One</t>
  </si>
  <si>
    <t xml:space="preserve">10.1371/journal.pone.0355179</t>
  </si>
  <si>
    <t xml:space="preserve">The transition to post-quantum cryptography (PQC) raises practical concerns regarding the feasibility of standardized algorithms on resource-constrained embedded platforms. While National Institute of Standards and Technology (NIST)-selected PQC schemes are designed for broad applicability, their real-world performance on low-power microcontrollers remains insufficiently characterized. Using a configurable on-device evaluation framework, we assess the lattice-based key encapsulation mechanism (ML-KEM), lattice-based digital signature scheme (ML-DSA), and the hash-based digital signature scheme (SLH-DSA) implementations from the liboqs library across all NIST-standardized parameter sets and security levels. Our measurements focus on execution latency, key and signature material sizes, and dynamic memory behavior under realistic embedded constraints. Experimental results show that all evaluated ML-KEM, ML-DSA, and SLH-DSA parameter sets execute successfully on the ESP32-C6 without external memory support. ML-KEM exhibits stable and predictable memory usage across parameter sets, with execution time increasing proportionally with the security level. ML-DSA key generation and signing operations incur higher computational cost, while verification remains comparatively efficient. Evaluated SLH-DSA parameter sets demonstrate substantially higher execution latency, reflecting the inherent computational cost of hash-based signature schemes on embedded hardware. Overall, our results indicate that selected NIST PQC algorithms are deployable on modern embedded microcontrollers, provided that performance and latency trade-offs are carefully considered. The presented evaluation framework and empirical results provide practical guidance for the design of post-quantum secure embedded systems. © 2026, Karcz et al. This is an open access article distributed under the terms of the Creative Commons Attribution License https://creativecommons.org/licenses/by/4.0/, which permits unrestricted use, distribution, and reproduction in any medium, provided the original author and source are credited.</t>
  </si>
  <si>
    <t xml:space="preserve">R421</t>
  </si>
  <si>
    <t xml:space="preserve">Design and implementation of a secure IoT dashboard for cold room management using penetration testing methods</t>
  </si>
  <si>
    <t xml:space="preserve">Lajnef, H.; Ben Brahim, S.; Ben Khedher, A.; Bouallegue, R.</t>
  </si>
  <si>
    <t xml:space="preserve">Engineering Research Express</t>
  </si>
  <si>
    <t xml:space="preserve">10.1088/2631-8695/ae05ea</t>
  </si>
  <si>
    <t xml:space="preserve">The rise of Internet of Things (IoT) technologies has transformed environmental monitoring systems, yet many implementations overlook critical cybersecurity vulnerabilities. This paper presents the design and implementation of a secure real-time dashboard for cold room management, built on an ESP32 microcontroller and Flask-based web server. The system collects temperature, humidity, and presence data via digital sensors, and transmits it wirelessly for visualization through a responsive web interface. Unlike traditional approaches, this work integrates penetration testing techniques directly into the development lifecycle, simulating real-world attacks such as Denial of Service (DoS), SQL injection, Man-in-the-Middle (MitM), and Wi-Fi de-authentication. Each simulated attack is followed by the deployment of specific countermeasures, including HTTPS encryption, rate limiting, input validation, and secure coding practices. The result is a functional and resilient system that not only ensures operational reliability but also provides a practical framework for securing IoT deployments in resource-constrained environments. This work highlights the importance of embedding cybersecurity by design in IoT architectures and offers a low-cost, extensible solution for critical infrastructure monitoring. © 2025 The Author(s). Published by IOP Publishing Ltd.</t>
  </si>
  <si>
    <t xml:space="preserve">R422</t>
  </si>
  <si>
    <t xml:space="preserve">SUL32C: secure ultra-lightweight 32-bit cipher for IoT devices</t>
  </si>
  <si>
    <t xml:space="preserve">Witwit, A.J.H.; Fanfakh, A.; Idrees, A.K.</t>
  </si>
  <si>
    <t xml:space="preserve">Journal of Supercomputing</t>
  </si>
  <si>
    <t xml:space="preserve">10.1007/s11227-025-07448-8</t>
  </si>
  <si>
    <t xml:space="preserve">The increasing number of IoT devices used in various applications is drawing attention to the Internet of Things (IoT). However, due to its limited processing capabilities, data confidentiality is crucial. Security issues arise due to the constrained nature of IoT systems, allowing intruders to establish connections, inject false data, and launch attacks. Lightweight encryption algorithms are implemented to address this issue but are vulnerable to differential attacks due to their simplicity. This paper proposes a secure, ultra-lightweight 32-bit cipher (SUL32C) for IoT devices. SUL32C is a lightweight block cipher method for IoT networks to protect the confidentiality of message contents. It applies one round of encryption while maintaining the necessary level of security, integrity, and confidentiality services for data. The proposed lightweight cipher utilizes the S-box layer of the SPN structure and integrates it with the ARX structure, a well-known structure of traditional LWC algorithms, to enhance complexity and achieve a higher level of security while minimizing the device's performance cost. Several factors have been used to prove the reliability of any proposed cipher. However, we use randomness tests to demonstrate the efficiency and effectiveness of the pseudo-random number generators in the proposed SUL32C. Additionally, numerous statistical tests demonstrate the efficiency of the proposed SUL32C. We implement the proposed SUL32C on the ESP32 microcontroller. We compare SUL32C with two well-known lightweight cipher algorithms, such as SPECK and SIMON, in terms of security level and performance. The experiment results show that the proposed cipher is faster by 5.13 times, 15.98 times, and 864 times compared to SPECK, SIMON, and PRESENT, respectively. © The Author(s), under exclusive licence to Springer Science+Business Media, LLC, part of Springer Nature 2025.</t>
  </si>
  <si>
    <t xml:space="preserve">R423</t>
  </si>
  <si>
    <t xml:space="preserve">Evaluating AES Payload Encryption for Securing MQTT-based Smart Home Networks with Machine Learning-based Intrusion Detection</t>
  </si>
  <si>
    <t xml:space="preserve">Gajewski, M.; Sałabun, W.</t>
  </si>
  <si>
    <t xml:space="preserve">Journal of Telecommunications and Information Technology</t>
  </si>
  <si>
    <t xml:space="preserve">10.26636/jtit.2026.2.2545</t>
  </si>
  <si>
    <t xml:space="preserve">The message queuing telemetry transport (MQTT) protocol is widely adopted in smart home IoT ecosystems despite its default configuration failing to offer adequate protection against eavesdropping or payload manipulation. This study addresses an important research gap and attempts to determine whether AES-128 payload encryption is capable of securing MQTT transmissions without degrading the effectiveness of machine learning-based intrusion detection systems (IDS). Three security configurations, namely TLS, payload encryption, and token-based authentication, deployed on the ESP32 microcontroller family, are compared and their impact on message latency is measured. Experimental results show that the AES-128 encryption overhead remains at below 25% of the message publication time on ESP32-S3. To evaluate the robustness of IDS under encryption, we apply a reproducible modification to the MQTTset benchmark dataset that replaces variable-length plaintext payloads with fixed-length ciphertext representations while simultaneously preserving feature semantics and labeling consistency. 5 out of 6 evaluated classifiers maintained their accuracy level at above 99% on the modified dataset, with tree-based and neural models showing no meaningful degradation. Only Naive Bayes proved unsuitable, with its accuracy dropping from 98.79% to 62.15% due to its independence assumptions being violated by cryptographic uniformity. These results confirm that AES-based MQTT payload encryption is a practical and efficient security measure for resource-constrained IoT environments, provided that appropriate classifiers are employed. © 2026, National Institute of Telecommunications. All rights reserved.</t>
  </si>
  <si>
    <t xml:space="preserve">R424</t>
  </si>
  <si>
    <t xml:space="preserve">Lightweight Strobe Security Libdisco Scheme for IoT-Based Sensor Data</t>
  </si>
  <si>
    <t xml:space="preserve">Ulla, M.M.; Khan, M.S.; Shakkeera, L.; Sunitha, B.J.</t>
  </si>
  <si>
    <t xml:space="preserve">8th IEEE International Conference on Computational System and Information Technology for Sustainable Solutions, CSITSS 2024</t>
  </si>
  <si>
    <t xml:space="preserve">10.1109/csitss64042.2024.10817029</t>
  </si>
  <si>
    <t xml:space="preserve">Strobe appears to be a promising solution to address some of the challenges associated with securing IoT devices. Its lightweight nature and flexibility make it well-suited for deployment in resource-constrained environments such as microcontrollers and small hardware devices. By providing support for cryptographic primitives and network protocols, Strobe offers a comprehensive framework for securing IoT ecosystems. The support for Schnorr signature variant with an elliptic curve or other group primitives further enhances the security features of Strobe, making it suitable for applications where authentication and integrity are crucial. Furthermore, the lightweight implementation of Strobe is particularly noteworthy, as it addresses the constraints imposed by microcontrollers and small hardware devices. By optimizing resource usage and maximizing efficiency, this implementation ensures that Strobe can be deployed effectively in a wide range of IoT devices without compromising performance or reliability. NFTs have been widely used in blockchain systems to represent unique and irreplaceable assets. Traditional NFTs typically have one identifier representing an asset and ownership by a single entity. This work introduces smart NFTs, tagging IoT devices as Tangible Smart Assets. These devices have blockchain account addresses, establish secure communication channels, and operate in different modes based on their token states. By using Physical Unclonable Functions (PUFs), each smart NFT is securely linked to its IoT device, enabling private key recovery and corresponding blockchain address recovery. This secure pairing ensures trusted hardware and software throughout the device's lifecycle. We will demonstrate this concept using ESP32-based IoT devices and the Ethereum blockchain, utilizing the ESP32's SRAM as the PUF.  © 2024 IEEE.</t>
  </si>
  <si>
    <t xml:space="preserve">R425</t>
  </si>
  <si>
    <t xml:space="preserve">Quantum-Resilient UAV communications: performance and security tradeoffs for ML-KEM on ARM cortex-M4</t>
  </si>
  <si>
    <t xml:space="preserve">Maalem, S.; Talbi, H.; Kahil, M.S.; Hebboul, A.; Derdour, M.; Ghanem, M.C.</t>
  </si>
  <si>
    <t xml:space="preserve">10.1016/j.phycom.2026.103271</t>
  </si>
  <si>
    <t xml:space="preserve">This paper presents a simulation- and model-based study — all results are derived from validated simulation frameworks rather than physical hardware measurements — of the post-quantum migration of unmanned aerial vehicle (UAV) command-and-control links. The advent of cryptographically relevant quantum computers (CRQCs) fundamentally threatens the security of unmanned aerial systems (UAS), particularly command and control links that rely on classical public-key cryptography. Compounded by "harvest now, decrypt later” strategies, this necessitates a proactive transition to post-quantum cryptography (PQC). We develop a quantum threat model for UAV communications and evaluates a migration pathway anchored by the NIST-standardized ML-KEM (Kyber) algorithm. We model and benchmark ML-KEM on a simulated ARM Cortex-M4-class flight controller plat-form, analysing computational performance, memory footprint, energy consumption, and real-time scheduling behaviour. Results demonstrate that ML-KEM-768 encapsulation reduces latency by approximately 39% compared to elliptic curve Diffie-Hellman, while a hybrid ECDH+ML-KEM-768 configuration introduces moderate computational and memory overhead. However, the substantial increase in ciphertext size creates critical fragmentation bottlenecks on low-bandwidth telemetry links such as LoRa, motivating a proposed symmetric key derivation architecture for bandwidth-efficient rekeying. Side-channel analysis under an idealised leakage model confirms susceptibility to correlation power analysis, highlighting the necessity for hardened implementations. Furthermore, real-time operating system scheduling simulations under a two-task discrete-event model reveal that naive task co-scheduling induces significant jitter, necessitating strict priority isolation to maintain flight controller determinism. These findings establish simulation-grounded guidance for integrating PQC into resource-constrained UAV platforms without compromising real-time performance or communication reliability. © 2026 The Author(s)</t>
  </si>
  <si>
    <t xml:space="preserve">R426</t>
  </si>
  <si>
    <t xml:space="preserve">Enhancing New Lightweight Cryptographic Algorithm Using Key-Based Dynamic S-Box</t>
  </si>
  <si>
    <t xml:space="preserve">Rahardja, K.N.; Afianti, F.; Dewanta, F.</t>
  </si>
  <si>
    <t xml:space="preserve">Proceedings - 2025 IEEE 2nd International Conference on Cryptography, Informatics, and Cybersecurity, ICoCICs 2025</t>
  </si>
  <si>
    <t xml:space="preserve">10.1109/icocics68032.2025.11383867</t>
  </si>
  <si>
    <t xml:space="preserve">The growing proliferation of the Internet of Things (IoT) necessitates lightweight cryptographic algorithms that balance security and efficiency f or r esource-constrained environments. Traditional cryptographic methods are often too resource-intensive for devices with limited processing power, memory, and energy capacity. Lightweight cryptography (LWC) addresses this by providing optimized solutions with minimal hardware over-head. One such candidate, the New Lightweight Cryptographic Algorithm (NLCA), a 128-bit symmetric block cipher. This paper introduces a modified version of NLCA, called ModNLCA, which replaces the original F-function with a dynamic S-Box generated from the secret key and round constants. This modification enhances resistance to linear attacks while potentially reducing computational complexity. The algorithm is implemented on ESP32 microcontrollers to simulate real-world IoT scenarios, where encryption and decryption processes are distributed across nodes via Wi-Fi communication. Experimental results show that while ModNLCA is slightly slower than PRESENT at small data sizes (e.g., 32 bits), it outperforms both NLCA and PRESENT significantly at l arger sizes. At 256 bits, ModNLCA a chieves up to 53% faster encryption and 38% faster decryption compared to PRESENT, while also using memory more efficiently. Moreover, ModNLCA demonstrates a strong diffusion effect, achieving an avalanche effect rate of 25.34 %. These findings s uggest that ModNLCA is a promising candidate for secure and efficient encryption in resource-constrained systems.  © 2025 IEEE.</t>
  </si>
  <si>
    <t xml:space="preserve">R427</t>
  </si>
  <si>
    <t xml:space="preserve">Performance Trade-Offs in Multi-Tenant IoT–Cloud Security: A Systematic Review of Emerging Technologies</t>
  </si>
  <si>
    <t xml:space="preserve">Alobaywi, B.; Almutairi, M.G.; Sheldon, F.T.</t>
  </si>
  <si>
    <t xml:space="preserve">10.3390/iot7010021</t>
  </si>
  <si>
    <t xml:space="preserve">Multi-tenancy is essential for scalable IoT–Cloud systems; however, it introduces complex security vulnerabilities at the intersection of shared cloud infrastructures and resource-constrained IoT environments. This systematic review evaluates next-generation security frameworks designed to enforce tenant isolation without violating the strict latency (&lt;10 ms) and energy bounds of lightweight sensors. Adhering to PRISMA guidelines, we analyze selected high-quality studies to categorize intersectional threats, including cross-tenant data leakage, side-channel attacks, and privilege escalation. Our analysis identifies a critical, unresolved conflict: existing mitigation strategies often incur a 12% computational and communication overhead, creating a significant barrier for real-time applications. Furthermore, we critically analyze emerging technologies, including Zero Trust Architectures (ZTA), adaptive Artificial Intelligence (AI), blockchain, and Post-Quantum Cryptography (PQC). We find that direct PQC deployment is currently infeasible for LPWAN protocols due to key-size constraints (1.6 KB) that exceed typical payload limits. To address these challenges, we propose a novel multi-layer security design principle that offloads heavy isolation and cryptographic workloads to hardware-accelerated edge gateways, thereby maintaining tenant isolation without compromising real-time performance. Finally, this review serves as a roadmap for future research, highlighting federated learning and hardware enclaves as essential pathways for securing next-generation multi-tenant IoT ecosystems. © 2026 by the authors.</t>
  </si>
  <si>
    <t xml:space="preserve">R428</t>
  </si>
  <si>
    <t xml:space="preserve">A channel perceiving attack and the countermeasure on long-range IoT physical layer key generation</t>
  </si>
  <si>
    <t xml:space="preserve">Yang, L.; Gao, Y.; Zhang, J.; Camtepe, S.; Jayalath, D.</t>
  </si>
  <si>
    <t xml:space="preserve">10.1016/j.comcom.2022.04.027</t>
  </si>
  <si>
    <t xml:space="preserve">Physical layer key generation is a lightweight technique to generate secret keys from wireless channels for resource-constrained Internet of things (IoT) applications. The security of the key generation relies on spatial decorrelation, which assumes that eavesdroppers observe uncorrelated channel measurements when they are located over a half-wavelength away from legitimate users. Unfortunately, no experimental validation exists for communications environments with both large-scale and small-scale fading effects. Furthermore, while the current key generation work mainly focuses on short-range communications techniques such as WiFi and ZigBee, the exploration with long-range communications, e.g., LoRa, is somewhat limited. This paper presents a long-range key generation testbed and reveals a new attack scenario that perceives and utilizes large-scale fading effects in key generation channels, by using multiple eavesdroppers circularly around a legitimate user. We formalized such an attack and validated it through extensive experiments conducted in indoor and outdoor environments. It is corroborated that the attack reduces secret key capacity when large-scale fading is predominant. We further investigated potential defenses by proposing a conditional entropy and high-pass filter-based countermeasure to estimate and eliminate large-scale fading components. The experimental results demonstrated that the countermeasure significantly improved the key generation's security when both large-scale and small-scale fading existed. The keys generated by legitimate users have a desirable low key disagreement rate (KDR) and are validated by the NIST randomness tests. In contrast, eavesdroppers’ average KDR is increased from 0.25 to 0.49. © 2022 Elsevier B.V.</t>
  </si>
  <si>
    <t xml:space="preserve">R429</t>
  </si>
  <si>
    <t xml:space="preserve">WiMapper: A Lightweight Kernel-Based Framework for Rogue Access Point Detection on Edge Devices</t>
  </si>
  <si>
    <t xml:space="preserve">Kumar, A.H.; Krithick, S.; Kumaran, K.; Saranya, G.; Devadoss, A.; Krishanu, R.S.; Ranganathan, P.</t>
  </si>
  <si>
    <t xml:space="preserve">10.1109/access.2026.3682631</t>
  </si>
  <si>
    <t xml:space="preserve">Public wireless networks have evolved from convenient services into critical urban infrastructure, yet they remain fundamentally susceptible to identity-based exploits. The Evil Twin attack persists as a significant threat because client devices implicitly trust broadcast identifiers before a secure encryption channel is established. Existing defense mechanisms typically rely on either cost-prohibitive Wireless Intrusion Prevention Systems (WIPS), which necessitate centralized wired infrastructure, or computationally intensive Deep Learning models that exceed the resource capabilities of edge sensors. This article presents WiMapper, a detection framework engineered specifically to resolve the trade-off between inspection frequency and computational cost on Resource-Constrained Edge Devices (RCEDs). The architecture introduces a Cascaded Admission Control mechanism: a deterministic O(1) access list (Track A) acts as a low-energy computational shield, filtering high-frequency naive traffic to preserve battery life, thereby permitting the deployment of a computationally richer One-Class Support Vector Machine (Track B) solely for ambiguous threats. By analyzing physics-informed statistical moments specifically Kurtosis and Skewness the model identifies the heavy-tailed impulsive noise artifacts characteristic of packet injection tools. Extensive simulations using the HCXY dataset, combined with a synthetic attack model, and subsequent field validation confirm that this hybrid architecture achieves a Pareto-optimal balance between efficiency and accuracy, outperforming monolithic deep learning models on the edge. Evaluated against this synthetic attack model, the framework attained a mean F1-Score of 0.740. Foregrounding target-hardware performance, validation on an ESP32 microcontroller demonstrated a viable primary firmware inference latency of 19.79 ms. Additionally, vector-optimized cloud and gateway benchmarking on a Raspberry Pi 5 yielded 0.16 ms, confirming the model's scalability with a static memory footprint of 188.5 KB. These metrics confirm that the kernel-based approach significantly outperforms Isolation Forest and Autoencoder baselines, positioning it as a viable solution for dense, low-power security sensor networks.  © 2013 IEEE.</t>
  </si>
  <si>
    <t xml:space="preserve">R430</t>
  </si>
  <si>
    <t xml:space="preserve">A Comprehensive Analysis of LoRaWAN Key Security Models and Possible Attack Solutions</t>
  </si>
  <si>
    <t xml:space="preserve">Ntshabele, K.; Isong, B.; Gasela, N.; Abu-Mahfouz, A.M.</t>
  </si>
  <si>
    <t xml:space="preserve">Mathematics</t>
  </si>
  <si>
    <t xml:space="preserve">10.3390/math10193421</t>
  </si>
  <si>
    <t xml:space="preserve">Low-Power Wide-Area Network (LPWAN) is a wireless WAN technology that connects low-powered and low-bandwidth devices with low bit rates atop Long Ranges (LoRa). It is characterized by improved scalability, wide area coverage, and low power consumption, which are beneficial to resource-constrained devices on the Internet of Things (IoT) for effective communication and security. Security in Long-Range Wide-Area Networks (LoRaWAN) widely employs Advanced Encryption Standard (AES) 128-bit symmetric encryption as the accepted security standard for a key generation that secures communication and entities. However, designing an efficient key manifestation and management model is still a challenge as different designs are based on different research objectives. To date, there is no global and well-accepted LoRaWAN security model for all applications. Thus, there is a need to continually improve the LoRaWAN security model. This paper, therefore, performed an in-depth analysis of some existing LoRaWAN key security models to identify security challenges affecting these security models and assess the strengths and weaknesses of the proposed solutions. The goal is to improve some of the existing LoRaWAN security models by analysing and bringing together several challenges that affect them. Several relevant studies were collected and analysed; the analysis shows that though there are few research works in this area, several existing LoRaWAN security models are not immune to attacks. Symmetry encryption is found to be the most used approach to manage key security due to its less computational operations. Moreover, it is possible to improve existing key security models in LPWAN with consideration of the resource constrained. Again, trusted third parties for key management were also widely used to defend against possible attacks and minimize operational complexities. We, therefore, recommend the design of lightweight and less complex LPWAN security models to sustain the lifespan of LPWAN devices. © 2022 by the authors.</t>
  </si>
  <si>
    <t xml:space="preserve">R431</t>
  </si>
  <si>
    <t xml:space="preserve">TrustEdge: A quantum-safe, self-healing framework for federated TinyML in critical ICU monitoring</t>
  </si>
  <si>
    <t xml:space="preserve">Khan, U.H.; Qamar, A.; Khan, R.; Alawad, M.A.; Alturise, F.; Hayat, M.</t>
  </si>
  <si>
    <t xml:space="preserve">10.1016/j.iot.2025.101855</t>
  </si>
  <si>
    <t xml:space="preserve">As adversarial threats to AI-extended medicine increases, there is evidence to suggest that existing IoMT architectures lack autonomous cyber-resilience; the ability of a system to detect (observe and record) and then self-heal from attack events without any human effort. Against this backdrop, we develop TrustEdge: an end-to-end IoMT system which seamlessly integrates four critical functions at the edge namely (i) TinyML-driven IDS-on-device (ii) PQC driven secure federated learning using NIST standard ML-KEM-512 algorithm (iii) lightweight blockchain audit trail and (iv) smart contract based self-healing. To that end and specifically designed for resource-constrained ESP32-class low-resource devices, TrustEdge, adapted to the tailored requirements of non-IID clinical environments, enables secure sub-second detection of both sensor spoofing and model poisoning attacks with 98.2 % accuracy while incurring no more than 1 % false positives; under mistaken diagnosis indications it automatically responds by triggering vetted recovery actions (e.g., node isolation or model rollback) without having to depend on cloud back-ends. The framework was tested on clinician-verified synthetic ICU data spanned in 3 simulated hospitals and within a high-fidelity OMNeT++ network simulation with realistic ICU WiFi, at 54Mbps (bit error rate of 10−5, co-channel interference). Experimental results show that TrustEdge is 99.4 %(accuracy) of the health anomaly detection with negligible overhead (0.09ms(PQC encryption) and 1.2ms(per transaction of blockchain)). Our co-simulation ensures ethical safety and eliminates adversarial testing in living clinical sites; we provide full reproducibility, sharing code, data and simulation scripts. TrustEdge raises the bar for self-defending, autonomous critical care systems impermeable to present and quantum-age threats without the presence of any false positives in normal operation and is fully consistent with quantum-safe edge native design principles. © 2025</t>
  </si>
  <si>
    <t xml:space="preserve">R432</t>
  </si>
  <si>
    <t xml:space="preserve">Development and Performance Evaluation of a Modified Homomorphic Encryption Scheme for ESP32-Based Resource-Constrained IoT Devices</t>
  </si>
  <si>
    <t xml:space="preserve">Myrzakul, Z.; Temirbekova, Z.; Myrzakul, G.</t>
  </si>
  <si>
    <t xml:space="preserve">10.1109/sist61674.2026.11596207</t>
  </si>
  <si>
    <t xml:space="preserve">The rapid growth of Internet of Things (IoT) technologies has created significant security challenges due to the limited computational and memory resources of embedded devices. Traditional encryption schemes often impose high computational overhead, making them unsuitable for resource-constrained environments. This paper presents the development of a modified homomorphic encryption scheme for ESP32-based IoT devices. The proposed scheme enables secure data encryption and decryption while supporting limited processing on encrypted data. The algorithm was implemented on the ESP32 microcontroller, and its performance was evaluated in terms of execution time and memory consumption. Experimental results demonstrate that the modified scheme reduces computational overhead while maintaining an adequate level of security, confirming the feasibility of using homomorphic encryption in resource-constrained IoT devices for secure data processing.  © 2026 IEEE.</t>
  </si>
  <si>
    <t xml:space="preserve">R433</t>
  </si>
  <si>
    <t xml:space="preserve">Message security scheme for MQTT-SN protocol over LoRa wireless technology</t>
  </si>
  <si>
    <t xml:space="preserve">Pramayoga, A.S.; Widodo, A.P.; Ariyanti, Y.D.P.</t>
  </si>
  <si>
    <t xml:space="preserve">10.1063/5.0322488</t>
  </si>
  <si>
    <t xml:space="preserve">Internet of Things (IoT) paradigm describes interaction of data exchange between physical objects (sensors or actuators) with a control or data analytic services over the internet. Most physical objects are devices with limited computing capacity, less storage, and constrained resources. MQTT (Message Queue Telemetry Transport) protocol is defined as data exchange protocol that can be implemented on devices with these characteristics. MQTT is designed to run on TCP/IP. UDP-based communication media technologies, such as ZigBee and LoRa, can use a lightweight version of MQTT, namely MQTT-SN. Several studies show the implementation of MQTT-SN at the physical layer of LoRa. However, it needs improvement on security aspect protections of messages that containing sensitive data. In this paper, a simulation of the MQTT-SN protocol on LoRa devices is carried out by adding AEAD (Authenticated Encryption with Associated Data) scheme to protect confidentiality and message authenticity. Two algorithms, AES-GCM and ChaCha20-Poly1305 were tested on resource constrained devices to know the performance of the proposed scheme. The results show that the AEAD scheme can increase security in implementing the MQTT-SN protocol on LoRa devices by only increasing the amount of payload, memory consumption, and processing time that can still be tolerated.  © 2026 Author(s).</t>
  </si>
  <si>
    <t xml:space="preserve">R434</t>
  </si>
  <si>
    <t xml:space="preserve">Analysis of the Cryptographic Algorithms in IoT Communications</t>
  </si>
  <si>
    <t xml:space="preserve">Silva, C.; Cunha, V.A.; Barraca, J.P.; Aguiar, R.L.</t>
  </si>
  <si>
    <t xml:space="preserve">Information Systems Frontiers</t>
  </si>
  <si>
    <t xml:space="preserve">10.1007/s10796-023-10383-9</t>
  </si>
  <si>
    <t xml:space="preserve">The advances on recent communication paradigms brings new security and privacy challenges, mainly about personal data collection by smart devices. Resource constrained devices face serious issues to run complex cryptographic algorithms. Trying to evaluate the performance impact of those algorithms in usual and common devices used in smart homes, in this paper we tested the impact of different cryptographic algorithms in low computational devices, typically used in smart devices applied in smart homes, testing different security configurations and using the two most used transport protocols (HTTP and MQTT). The experiment measures their effects on six commonly used embedded devices in IoT WSNs: ESP8622, ESP32, and Raspberry Pi (RPi) from 1 to 4. The experiment measured the power consumption, message delay, and additional message length (bytes). Moreover, the analysis was also used to model security algorithms. The experimental results from long runs (72 hours) reveal the cryptographic solution choice is significant for the message delay and additional message length. © The Author(s) 2023.</t>
  </si>
  <si>
    <t xml:space="preserve">R435</t>
  </si>
  <si>
    <t xml:space="preserve">Experimental and data-driven evaluation of transport-layer and application-layer security for MQTT-based IoT networks</t>
  </si>
  <si>
    <t xml:space="preserve">Del-Valle-Soto, C.; Alvarez-Garcia, M.F.; Valdivia, L.J.; Del-Puerto-Flores, J.A.; Varela-Aldás, J.; Visconti, P.</t>
  </si>
  <si>
    <t xml:space="preserve">Pervasive and Mobile Computing</t>
  </si>
  <si>
    <t xml:space="preserve">10.1016/j.pmcj.2026.102272</t>
  </si>
  <si>
    <t xml:space="preserve">The rapid expansion of Internet of Things (IoT) deployments has intensified the need for secure and efficient communication mechanisms tailored to resource-constrained devices. Message Queuing Telemetry Transport (MQTT) is widely adopted due to its lightweight design; however, it lacks native security support, requiring external protection mechanisms that may significantly affect system performance. This paper presents a comprehensive experimental and data-driven evaluation of two security paradigms for MQTT-based IoT networks implemented on ESP32 microcontrollers: transport-layer security using TLS and application-layer encryption based on elliptic curve cryptography (ECC) for key exchange combined with AES symmetric encryption. The analysis jointly evaluates memory utilization, end-to-end latency, energy consumption, and resistance to passive traffic interception under identical experimental conditions. In addition to conventional metric-based comparisons, multivariate statistical analysis and unsupervised learning techniques are employed as exploratory tools to characterize the system-level behavior induced by each security scheme. Results show that Transport Layer Security (TLS) offers stronger confidentiality guarantees at the cost of higher memory overhead, while the ECC–(Advanced Encryption Standard) AES approach significantly reduces memory footprint with moderate latency penalties and comparable energy consumption. Multivariate analysis further reveals that each security mechanism induces a distinct performance regime, providing a compact joint characterization of the security–performance trade-offs across the evaluated configurations. © 2026</t>
  </si>
  <si>
    <t xml:space="preserve">R436</t>
  </si>
  <si>
    <t xml:space="preserve">Hybrid cryptographic approach for strengthening IoT and 5G/B5G network security</t>
  </si>
  <si>
    <t xml:space="preserve">Kumar, A.; Singh, P.; Kamble, D.P.; Singh, I.</t>
  </si>
  <si>
    <t xml:space="preserve">10.1038/s41598-025-21861-2</t>
  </si>
  <si>
    <t xml:space="preserve">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 © The Author(s) 2025.</t>
  </si>
  <si>
    <t xml:space="preserve">R437</t>
  </si>
  <si>
    <t xml:space="preserve">A quantum-safe authentication scheme for IoT devices using homomorphic encryption and weak physical unclonable functions with no helper data</t>
  </si>
  <si>
    <t xml:space="preserve">10.1016/j.iot.2024.101389</t>
  </si>
  <si>
    <t xml:space="preserve">Physical Unclonable Functions (PUFs) are widely used to authenticate electronic devices because they take advantage of random variations in the manufacturing process that are unique to each device and cannot be cloned. Therefore, each device can be uniquely identified and counterfeit devices can be detected. Weak PUFs, which support a relatively small number of challenge-response pairs (CRPs), are simple and easy to construct. Device authentication with weak PUFs typically uses helper data to obfuscate and recover a cryptographic key that is then required by a cryptographic authentication scheme. However, these schemes are vulnerable to helper-data attacks and many of them do not protect conveniently the PUF responses, which are sensitive data, as well as are not resistant to attacks performed by quantum computers. This paper proposes an authentication scheme that avoids the aforementioned weaknesses by not using helper data, protecting the PUF response with a quantum-safe homomorphic encryption, and by using a two-server setup. Specifically, the CRYSTALS-Kyber public key cryptographic algorithm is used for its quantum resistance and suitability for resource-constrained Internet-of-Things (IoT) devices. The practicality of the proposal was tested on an ESP32 microcontroller using its internal SRAM as a SRAM PUF. For PUF responses of 512 bits, the encryption execution time ranges from 16.41 ms to 41.08 ms, depending on the desired level of security. In terms of memory, the device only needs to store between 800 and 1,568 bytes. This makes the solution post-quantum secure, lightweight and affordable for IoT devices with limited computing, memory, and power resources. © 2024</t>
  </si>
  <si>
    <t xml:space="preserve">R438</t>
  </si>
  <si>
    <t xml:space="preserve">S2-Code: A Resilient and Lightweight Self-Synchronizing Authentication Protocol for Unreliable IoT Networks</t>
  </si>
  <si>
    <t xml:space="preserve">Cao, Y.; Kou, M.; Lai, Y.; Mei, Z.</t>
  </si>
  <si>
    <t xml:space="preserve">10.1109/access.2025.3605060</t>
  </si>
  <si>
    <t xml:space="preserve">Reliable authentication in resource-constrained IoT remains challenging on lossy wireless links, which induce desynchronization and amplify denial-of-service (DoS) risk. We present S2-Code, a self-synchronizing symmetric protocol that couples a dual-window state machine with an AEAD-protected bidirectional token. We derive practical window-sizing bounds from packet loss/reordering, request rate, and offline duration, and validate the design via symbolic verification in ProVerif, network emulation in Mininet, and hardware experiments on Raspberry Pi and ESP32-C3. S2-Code achieves 100% session recovery after a catastrophic 50-count desynchronization where rolling codes fail. Under 30% packet loss, it sustains 60% success versus 20% for the rolling-code baseline (p &lt; 10-8). A layered DoS defense—kernel-level rate limiting (nftables) plus an adaptive protocol mechanism—raises legitimate success from ≈ 17 % under flooding to ≈ 92.9 % under protocol-aware attack. The protocol has a small footprint (&lt;8 KB flash, &lt;4 KB RAM), low overhead (≈ 114 -byte packets, &lt;17 ms latency), and scales to 100 concurrent devices in emulation. S2-Code offers a practical, robust middle ground between fragile rolling codes and heavyweight PKI for resource-constrained IoT. © 2013 IEEE.</t>
  </si>
  <si>
    <t xml:space="preserve">R439</t>
  </si>
  <si>
    <t xml:space="preserve">Towards securing LoRaWAN ABP communication system</t>
  </si>
  <si>
    <t xml:space="preserve">Nour, H.N.; Salman, O.; Hatoum, T.; Malli, M.; Chehab, A.</t>
  </si>
  <si>
    <t xml:space="preserve">CLOSER 2020 - Proceedings of the 10th International Conference on Cloud Computing and Services Science</t>
  </si>
  <si>
    <t xml:space="preserve">A large number of power-constrained devices will be connected to the Internet of Things (IoT). Deployed in large areas, the battery-powered IoT devices call for power efficient and long range communication technologies. Consequently, the Low Power Wide Area Networks(LPWAN) were devoted to being the key IoT enablers. In this context, LoRaWAN, an LPWAN technology, is one of the main IoT communication protocols candidates. However, LoRaWAN suffers from different security and privacy threats. These threats lead to several availability, authentication, and privacy attacks. In this paper, we present efficient countermeasures against two well-known ABP attacks (eavesdropping and replay). The proposed solution aims at making LoRa ABP end-devices safer, more secure and more reliable. In fact, the proposed solution is based on the dynamic key derivation scheme. We presented two variants of dynamic key derivation: counter-based and channel information-based. A set of security and performance tests shows that the proposed countermeasures present low overhead in terms of computation and communication resources with a high level of security. © Copyright 2020 by SCITEPRESS - Science and Technology Publications, Lda. All rights reserved.</t>
  </si>
  <si>
    <t xml:space="preserve">R440</t>
  </si>
  <si>
    <t xml:space="preserve">Post-Quantum Digital Signature Algorithms on IoT: Evaluating Performance on LoRa ESP32 Microcontroller</t>
  </si>
  <si>
    <t xml:space="preserve">Nielsen, M.V.; Kjeldsen, M.R.; Turnip, T.; Andersen, B.</t>
  </si>
  <si>
    <t xml:space="preserve">Proceedings of the International Conference on Security and Cryptography</t>
  </si>
  <si>
    <t xml:space="preserve">10.5220/0013508400003979</t>
  </si>
  <si>
    <t xml:space="preserve">As quantum computing continues to develop, traditional cryptographic schemes face increasing threats from quantum attacks, driving the need for post-quantum cryptographic (PQC) algorithms. This study evaluates the feasibility of PQC algorithms with higher NIST security level parameters on a resource-constrained IoT device, the LoRa ESP32 microcontroller. We benchmarked the performance of CRYSTALS-Dilithium, Falcon, SPHINCS+ across multiple NIST levels, measuring latency, memory usage and discussing parameter sizes. Additionally, we examined the communication overhead introduced by transmitting the larger-than-usual digital signatures over a wireless network. Our findings reveal significant performance disparities between the tested algorithms, with Dilithium demonstrating the fastest execution and Falcon balancing speed and memory efficiency – even at higher NIST security levels. In contrast, SPHINCS+ proved impractically slow for IoT applications. This research investigates practical considerations and challenges of deploying PQC digital signature algorithms on IoT devices. © 2025 by Paper published under CC license (CC BY-NC-ND 4.0).</t>
  </si>
  <si>
    <t xml:space="preserve">R441</t>
  </si>
  <si>
    <t xml:space="preserve">Lightweight Preprocessing and Feature Extraction for LoRa RF Fingerprint Identification</t>
  </si>
  <si>
    <t xml:space="preserve">Bothereau, E.; Gerzaguet, R.; Gautier, M.; Zhang, J.; Chillet, A.; Marshall, A.; Berder, O.</t>
  </si>
  <si>
    <t xml:space="preserve">10.1109/icc59461.2026.11587750</t>
  </si>
  <si>
    <t xml:space="preserve">Deep learning-based radio frequency fingerprint identification (RFFI) achieves strong performance but suffers from high computational demands, limiting its suitability for resource-constrained and real-time scenarios. In this work, we presented a lightweight preprocessing method and machine learning-based framework for LoRa RFFI. In particular, our preprocessing method exploits the instantaneous phase difference of the LoRa signal, enabling fine spectral characterization and revealing residual hardware-dependent patterns. A three-stage framework involves feature extraction training, enrollment and authentication. The feature extraction training is machine learning-based and achieved by extremely randomized trees and linear discriminant analysis. The enrollment is done by distribution matching and the authentication is performed by calculating their probability density. We carried out extensive evaluation using a public LoRa RFFI dataset and compared with the state-of-the-art (SOTA) deep learning-based approach. Our proposed method achieved a comparable classification accuracy and channel robustness with the SOTA approach. In addition, our method required significantly less computation and memory, resulting in an explicit and efficient model across all evaluated scenarios. © 2026 IEEE.</t>
  </si>
  <si>
    <t xml:space="preserve">R442</t>
  </si>
  <si>
    <t xml:space="preserve">Power Analysis of Post-quantum Cryptography NIST Algorithms in Resource-Constrained Microcontroller</t>
  </si>
  <si>
    <t xml:space="preserve">Rimoli, G.P.; Gallo, L.; Fusco, P.; Ficco, M.</t>
  </si>
  <si>
    <t xml:space="preserve">Lecture Notes on Data Engineering and Communications Technologies</t>
  </si>
  <si>
    <t xml:space="preserve">10.1007/978-3-031-87784-1_15</t>
  </si>
  <si>
    <t xml:space="preserve">Post-Quantum Computing represents an emerging technology that can be exploited to implement robust encryption and decryption mechanisms needed for secure communication in the future Internet of Things (IoT). However, the energy and resource constraints of IoT devices imply that specific energy-efficient and lightweight algorithms need to be implemented and deployed in very resource-constrained microcontroller units (MCU). This paper examines the feasibility of implementing three post-quantum cryptography NIST algorithms in tiny IoT devices, including Saber, Falcon, and HQC. The algorithms were ported and adapted to suit the software and hardware characteristics of the most popular MCU-based devices used in academic and research settings, such as ESP32, ESP8266, and Arduino Nano 33 BLE. The results were analyzed in terms of energy consumption, time, and CPU cycles. © The Author(s), under exclusive license to Springer Nature Switzerland AG 2025.</t>
  </si>
  <si>
    <t xml:space="preserve">R443</t>
  </si>
  <si>
    <t xml:space="preserve">On the feasibility of attribute-based encryption on constrained iot devices for smart systems</t>
  </si>
  <si>
    <t xml:space="preserve">Girgenti, B.; Perazzo, P.; Vallati, C.; Righetti, F.; Dini, G.; Anastasi, G.</t>
  </si>
  <si>
    <t xml:space="preserve">Proceedings - 2019 IEEE International Conference on Smart Computing, SMARTCOMP 2019</t>
  </si>
  <si>
    <t xml:space="preserve">10.1109/smartcomp.2019.00057</t>
  </si>
  <si>
    <t xml:space="preserve">The Internet of Things (IoT) is enabling a new generation of innovative services based on the seamless integration of smart objects into information systems. Such IoT devices generate an uninterrupted flow of information that can be transmitted through an untrusted network and stored on an untrusted infrastructure. The latter raises new security and privacy challenges that require novel cryptographic methods. Attribute-Based Encryption (ABE) is a new type of public-key encryption that enforces a fine-grained access control on encrypted data based on flexible access policies. The feasibility of ABE adoption in fully-fledged computing systems, i.e. smartphones or embedded systems, has been demonstrated in recent works. In this paper we assess the feasibility of the adoption of ABE in typical IoT constrained devices, characterized by limited capabilities in terms of computing, storage and power. Specifically, an implementation of three ABE schemes for ESP32, a low-cost popular platform to deploy IoT devices, is developed and evaluated in terms of encryption/decryption time and energy consumption. The performance evaluation shows that the adoption of ABE on constrained devices is feasible, although it has a cost that increases with the number of attributes. The analysis in particular highlights how ABE has a significant impact in the lifetime of battery-powered devices, which is impaired significantly when a high number of attributes is adopted. © 2019 IEEE.</t>
  </si>
  <si>
    <t xml:space="preserve">R444</t>
  </si>
  <si>
    <t xml:space="preserve">Post-Quantum Cryptography for Smart City Cybersecurity: An Evaluation of PQC Algorithms Across IoT–Edge–Cloud Layers</t>
  </si>
  <si>
    <t xml:space="preserve">Alrowaili, A.; Ozmen, S.C.; Kazim, M.; Rehman, M.U.</t>
  </si>
  <si>
    <t xml:space="preserve">IET Smart Cities</t>
  </si>
  <si>
    <t xml:space="preserve">10.1049/smc2.70040</t>
  </si>
  <si>
    <t xml:space="preserve">Smart cities are built on a vast interconnected network of Internet of things (IoT), edge and cloud systems to optimise urban services and enhance the quality of life for the residents. However, this integration of cyber-physical infrastructure expands the attack surface, making it vulnerable to advanced cyber threats. The most notable emerging threat is quantum computers, which can break the classical cryptographic algorithms, such as RSA and ECC, that form the foundation of cybersecurity. Integrating liboqs execution benchmarks with an analytical network fragmentation model simulated with NS-3, evaluating NIST-approved PQC key encapsulation mechanisms, ML-KEM (Kyber512/768/1024), HQC (128/192/256) and classic McEliece variants, alongside signature schemes ML-DSA (Dilithium), Falcon and SLH-DSA (SPHINCS+) within a smart city network. We also extended the benchmarking to include NIST's SP 800-230 draft and provide preliminary benchmarks of the six new parameter sets. To assess embedded feasibility, all algorithms are additionally executed on the ESP32 P4 microcontroller, measuring timing, energy consumption and memory under resource-constrained conditions. This dual platform methodology enables cross-validation of network-level overhead and hardware-level performance. Results show consistent behaviour across platforms. ML KEM 512 (NIST Security Level 1) provides the best KEM performance, with key generation at 7.2 µs (NS-3) and 122.6 ms (ESP32 P4), and similarly efficient encapsulation/decapsulation. ML DSA 44 (NIST Security Level 2) achieves the fastest signatures at 64 µs on NS-3 and 490.6 ms on ESP32 P4. These findings provide evidence-based guidelines for deploying postquantum cryptography across smart city IoT–Edge–Cloud infrastructures, emphasising crypto-agility and hybrid cryptography for smart city networks. © 2026 The Author(s). IET Smart Cities published by John Wiley &amp; Sons Ltd on behalf of The Institution of Engineering and Technology.</t>
  </si>
  <si>
    <t xml:space="preserve">R445</t>
  </si>
  <si>
    <t xml:space="preserve">Secure Firmware Update over UART Using AEAD-ASCON: A Lightweight Cryptographic Framework for Constrained IoT Devices</t>
  </si>
  <si>
    <t xml:space="preserve">Hatmojo, S.Y.; Yuntanozra, M.D.K.H.; Ogi, D.</t>
  </si>
  <si>
    <t xml:space="preserve">Proceedings of the 2026 IEEE International Conference on Industry 4.0, Artificial Intelligence, and Communications Technology, IAICT 2026</t>
  </si>
  <si>
    <t xml:space="preserve">10.1109/iaict71158.2026.11620842</t>
  </si>
  <si>
    <t xml:space="preserve">Internet of Things (IoT) devices in mission-critical domains, including industrial SCADA systems, energy infrastructure, and physical security devices, often operate in air-gapped environments to minimize exposure to remote attacks. In such conditions, firmware updates must be conducted through local physical channels, typically using the UART serial interface. However, UART transmits data in plaintext by default, making it susceptible to eavesdropping, malicious firmware injection, and supply chain manipulation. This work addresses a specific gap in the security architecture of devices that operate without network connectivity by proposing and evaluating the Application-Layer UART Firmware Update (AL-UFU) framework, which integrates ASCON-128, the official NIST 2023 Lightweight Cryptography (LWC) standard, using Authenticated Encryption with Associated Data (AEAD) mode on the ESP32 platform. The system operates fully offline and does not rely on external infrastructure. Quantitative evaluation over 100 iterations on real ESP32 hardware shows that the framework introduces minimal memory overhead, requiring 7.48 KB of Flash (0.58%) and 2.03 KB of SRAM (0.63%); the cryptographic processing adds an average overhead of 7.648 ms per packet (8.03%) with a sustained throughput of 9.719 KB/s; and all evaluated active attack vectors, including invalid key usage, MITM/bit-flip attacks, and associated data (AD) tampering, are immediately rejected at the first chunk under the assumed adversary model, ensuring that no unauthenticated firmware is written to Flash memory. Finally, the use of a monolithic binary format (.bin) ensures atomic updates and effectively prevents partial-update attacks. © 2026 IEEE.</t>
  </si>
  <si>
    <t xml:space="preserve">R446</t>
  </si>
  <si>
    <t xml:space="preserve">Image Transmission over LoRa Networks: Challenges, Innovations, and Practical Solutions</t>
  </si>
  <si>
    <t xml:space="preserve">Shkuratskyy, V.; Usman, A.B.; Bagheri, H.; Hill, S.</t>
  </si>
  <si>
    <t xml:space="preserve">Journal of Imaging</t>
  </si>
  <si>
    <t xml:space="preserve">10.3390/jimaging12090442</t>
  </si>
  <si>
    <t xml:space="preserve">The Internet of Things has increasingly enabled advancing real-time environmental monitoring through the integration of Low-Power Wide-Area Networks. Among these technologies, LoRa (Long Range) has emerged as a prominent communication technology due to its combination of long-range communication, low energy consumption, and affordability, making it particularly suitable for remote and infrastructure-limited environments. Its adaptability is further enhanced through the use of open-source hardware, renewable energy sources, and intelligent algorithms. Despite LoRa’s limitations in bandwidth and data rate, recent innovations enabled increasingly data-intensive applications, including image transmission. This review critically examines recent advances in image transmission over LoRa networks, synthesising approaches across four interconnected strategies: image compression, packetisation and reliability, communication optimisation, and application-specific techniques. The analysis evaluates trade-offs among image size, transmission latency, energy consumption, coverage, and reconstructed image quality. These considerations are particularly relevant for environmental sensing applications, including water quality assessment, air pollution monitoring, wildlife tracking, and underground mining. This review synthesises recent advances in LoRa-based environmental and visual sensing and highlights persistent challenges, including duty-cycle restrictions, limited throughput, and energy constraints, that must be addressed for broader adoption in data-intensive sensing applications. By analysing current strategies and proposing future directions, including adaptive encoding, lightweight encryption, and energy-aware scheduling, the review demonstrates the potential of LoRa to play an increasingly important role in enabling sustainable, scalable, and accessible Internet of Things solutions across diverse environmental settings. © 2026 by the authors.</t>
  </si>
  <si>
    <t xml:space="preserve">R447</t>
  </si>
  <si>
    <t xml:space="preserve">Secure PUF-ASCON-Based Gateway-Assisted D2D Authentication for Resource-Constrained Smart-Manufacturing IIoT Devices</t>
  </si>
  <si>
    <t xml:space="preserve">Subahi, A.</t>
  </si>
  <si>
    <t xml:space="preserve">10.3390/math14152800</t>
  </si>
  <si>
    <t xml:space="preserve">Smart-manufacturing Industrial Internet of Things (IIoT) deployments increasingly depend on low-latency device-to-device (D2D) communication among resource-constrained, physically exposed field devices. This setting makes mutual authentication and session-key establishment difficult: public-key-intensive or cloud-dependent schemes add overhead, availability dependence, and single points of failure, while weak PUF-based designs may expose challenge-response pairs (CRPs) to replay, disclosure, and modeling attacks. This paper proposes PASMAP, a lightweight PUF-ASCON mutual authentication protocol for gateway-assisted D2D communication in smart-manufacturing IIoT. PASMAP combines SRAM-PUF key reconstruction, fuzzy-extractor helper data, hash- and XOR-based obfuscation, and ASCON authenticated encryption with associated data (AEAD) to protect hardware-rooted identities, hide raw PUF responses, and establish fresh session keys for post-authentication data exchange under an explicitly trusted local-gateway model. The protocol is evaluated against physical, protocol-level, and insider threats, including cloning, tampering, replay, man-in-the-middle, CRP disclosure, PUF modeling, stolen-verifier, and known-key attacks. A real-or-random (ROR) analysis bounds the adversary’s session-key advantage using hash collisions, PUF-response prediction, online guessing, and ASCON AEAD security. A mixed-platform evaluation based on ESP32 primitive timings for the edge devices and desktop timings for the resource-rich gateway yields an estimated total computation cost of 4.762 ms. The initiator and responder require 2.006 ms/264.79 (Formula presented.) J and 2.679 ms/353.63 (Formula presented.) J of computational energy, respectively, while the five-message exchange carries 4704 bits. These results indicate low computational overhead under the stated benchmark and power-model assumptions. However, the protocol totals are operation-count-based estimates, the PUF and fuzzy-extractor operations are simulated, and the energy model excludes several platform- and communication-dependent costs. A complete embedded implementation is therefore required to validate end-to-end latency, memory use, energy consumption, communication-stack overhead, SRAM-PUF reliability, and fuzzy-extractor performance. © 2026 by the author.</t>
  </si>
  <si>
    <t xml:space="preserve">R448</t>
  </si>
  <si>
    <t xml:space="preserve">Hardware-Level Emulation of Wi-Fi Clone Attacks with On-Device Intelligence using ESP32</t>
  </si>
  <si>
    <t xml:space="preserve">Kulkarni, S.; Avadhani, D.; Adabettu, K.; Sheela, S.; Sunil Kumar, J.</t>
  </si>
  <si>
    <t xml:space="preserve">2026 International Conference on Artificial Intelligence and Data Engineering, AIDE 2026 - Proceedings</t>
  </si>
  <si>
    <t xml:space="preserve">10.1109/aide69088.2026.11544415</t>
  </si>
  <si>
    <t xml:space="preserve">This paper examines the feasibility and workflow of an Evil Twin Proof-of-Concept attack, implemented using two low-cost ESP32 microcontroller boards. The boards work together to actively de-authenticate all users connected to a legitimate Wi-Fi access point and create a clone of the legitimate access point. These two boards coordinate over a UART link. This project conducts a research exercise and does not intend to cause unauthorized disruption. This paper aims to demonstrate how inexpensive embedded hardware can be combined with lightweight machine learning algorithms to identify, disrupt, and impersonate nearby Wi-Fi access points. ESP32#1 continuously scans the radio environment, and the on-chip machine learning algorithm ingests the results to rank the discovered networks based on their cloning feasibility. Based on the results, the users can perform de-authentication using ESP32#2 and cloning using ESP32#1. While the legitimate access point gets de-authenticated, the clone acts as the legitimate network and encourages users to connect to it. Further in the paper, we discuss practical constraints encountered during development and modern protection mechanisms.  © 2026 IEEE.</t>
  </si>
  <si>
    <t xml:space="preserve">R449</t>
  </si>
  <si>
    <t xml:space="preserve">Trusted Cellular IoT Devices: Design Ingredients and Concepts</t>
  </si>
  <si>
    <t xml:space="preserve">Book</t>
  </si>
  <si>
    <t xml:space="preserve">Heins, K.</t>
  </si>
  <si>
    <t xml:space="preserve">Synthesis Lectures on Engineering, Science, and Technology</t>
  </si>
  <si>
    <t xml:space="preserve">10.1007/978-3-031-19663-8</t>
  </si>
  <si>
    <t xml:space="preserve">According to their nature, IoT sensors observing remote locations are not physically controlled by operators, and typically they work at unattended or unprotected locations. As such, remote IoT devices are exposed and vulnerable against attacks or misuse. In most cases, IoT device are the weakest point of an IoT ecosystem and the most attractive target for IoT attackers to reach their goals most efficiently. This risk requires an extra level of attention during the development of an IoT device. Consequently, a design engineer should have a good understanding of risks, potential attacks and entry doors for security breaches and data leaks of an IoT device. This book explains how to identify application-specific vulnerabilities and how to address them most efficiently by design of an IoT device. This book explains all major ingredients for trusted IoT devices and provides direction for proper selection. As a reference technology for secure IoT connectivity, cellular networks (LTE-M and NB-IoT) have been used, but most of the book contents is also valid for IoT projects using other wireless networks like WiFi or LoRaWAN or SigFox. In particular, all explanations of IoT risk assessment, security requirements, protection countermeasures as well as introductions of design ingredients and concepts are applicable to different network technologies. Chapter 1 is called “Introduction and Scope”. It explains the architecture of an IoT ecosystem, and which IoT security aspects are relevant for trustworthy operation, overall user acceptance, and commercial success of an IoT application. It outlines the benefits of cellular networks for IoT connectivity and explains why IoT security considerations should focus on device design. Chapter 2 is called “Challenges and Objectives”. It explains how various threats can jeopardize the overall trustability of IoT ecosystems. IoT project owners will learn, which risks might lead to serious damage and how to assess related threads and attack scenarios. Based on application-specific requirements, and in combination with legal obligations, a balanced level of countermeasures will have to protect IoT deployments and related business models. A smart meter reference project has been used for illustration of a risk assessment process. In addition, this chapter explains why an independent IoT security evaluation and product certification process is important. Chapter 3 is called “Cryptographic Toolkit”. It starts with some security fundamentals and explains major cryptographic methods for protection of IoT deployments such as digital signatures, MACs and PKIs. Then, a selection of popular useful protocols like TLS or the Diffie-Hellman key exchange are covered. Chapter 4 is called “Ingredients for Secure Design”. It explains how designers can benefit from standard security products and outlines standard countermeasures against physical and logical intrusion as well as typical solutions for secure firmware upgrade, integrity checking or secure boot. Then, it provides a market snapshot of commercial off-the-shelf solutions for IoT device design and how to handle production lifecycles. Chapter 5 is called “Device Design”. It provides a list of universal design tips, a concept for active intrusion sensing and for an ultra-secure IoT device with built-in integrity protection and secure boot - based on a secure element. Finally, a comprehensive Glossary provides explanations of common terms and acronyms related to technical IoT, cellular network and security topics. © The Editor(s) (if applicable) and The Author(s), under exclusive license to Springer Nature Switzerland AG 2022.</t>
  </si>
  <si>
    <t xml:space="preserve">R450</t>
  </si>
  <si>
    <t xml:space="preserve">Blockchain and IPFS-Enhanced Secure Federated Learning on Resource-Constrained IoT Devices</t>
  </si>
  <si>
    <t xml:space="preserve">Khor, J.H.; Alam, M.N.; Fong, C.Z.</t>
  </si>
  <si>
    <t xml:space="preserve">IEEE Symposium on Computer Applications and Industrial Electronics, ISCAIE</t>
  </si>
  <si>
    <t xml:space="preserve">10.1109/iscaie68866.2026.11576489</t>
  </si>
  <si>
    <t xml:space="preserve">Blockchain and InterPlanetary File System (IPFS) have been widely adopted to ensure model integrity in federated learning. Although some studies have implemented federated learning clients on resource-constrained Internet of Things (IoT) devices, none have integrated cryptographic algorithms alongside blockchain and IPFS on such devices. This paper addresses this gap by introducing a lightweight symmetric encryption protocol to protect the confidentiality of on-chain IPFS content identifiers (CIDs), preventing unauthorized access to model updates while still leveraging IPFS and blockchain for integrity verification. A proof-of-concept is conducted on the ESP32-C6-DevKitC-1 to demonstrate its practical feasibility. The proposed solution demonstrates efficient resource utilization, requiring only 1.08 MB of flash memory, 42.80 KB of RAM, and achieving a computation time of 12.51 seconds. The proposed protocol is formally analyzed using ProVerif and shown to be secure against three common IoT attacks: key disclosure, replay, and adversarial-in-the-middle attacks. These results highlight the potential to deploy secure federated learning on resource-limited embedded platforms by seamlessly integrating blockchain, IPFS, and lightweight symmetric cryptography.  © 2026 IEEE.</t>
  </si>
  <si>
    <t xml:space="preserve">R451</t>
  </si>
  <si>
    <t xml:space="preserve">PEAK: PUF-Based End-to-End Authentication and Key-Exchange for IoT</t>
  </si>
  <si>
    <t xml:space="preserve">Gupta, C.; Varshney, G.; Kumar, G.; Ahlawat, S.</t>
  </si>
  <si>
    <t xml:space="preserve">IEEE Embedded Systems Letters</t>
  </si>
  <si>
    <t xml:space="preserve">10.1109/les.2026.3694966</t>
  </si>
  <si>
    <t xml:space="preserve">We propose a lightweight end-to-end authentication and key-exchange protocol for resource-constrained IoT devices that avoids computationally expensive cryptographic operations by leveraging Physically Unclonable Functions (PUFs) and employs a lightweight Fuzzy Extractor (FE) to reliably handle PUF noise. The protocol relies exclusively on lightweight hash, XOR, and symmetric encryption/decryption operations. Moreover, the proposed protocol mitigates the storage overhead by avoiding the maintenance of large CRP repositories at the server. Security properties are formally verified using the scyther tool. A prototype implementation using two ESP32-based IoT nodes and a server further demonstrates its practicality for real-world deployments. Finally, benchmarking against state-of-the-art schemes indicates that the proposed protocol incurs comparatively low computation time and communication cost, highlighting its efficiency and lightweight nature. © 2009-2012 IEEE.</t>
  </si>
  <si>
    <t xml:space="preserve">R452</t>
  </si>
  <si>
    <t xml:space="preserve">Building a Secure Electronic Health Record Management System on Cost-Effective Devices using Non-Fungible Tokens</t>
  </si>
  <si>
    <t xml:space="preserve">Masroor, F.; Gopalakrishnan, A.; Goveas, N.</t>
  </si>
  <si>
    <t xml:space="preserve">2024 IEEE International Conference on E-Health Networking, Application and Services, HealthCom 2024</t>
  </si>
  <si>
    <t xml:space="preserve">10.1109/healthcom60970.2024.10880820</t>
  </si>
  <si>
    <t xml:space="preserve">Our EHR Management System (EMS) empowers patients to control their electronic health records (EHR), enhancing data privacy and access control. The system allows patients to carry their data as modular units on cost-effective, resource-constrained devices like Raspberry Pi, Beaglebone, and ESP32. We implemented EMS in two scenarios: one device per patient and one device shared among multiple patients. Using Blockchain-based Non-Fungible Tokens (NFTs), our system ensures secure access and authentication for authorized users. We evaluated our EMS by measuring delays in accessing data and verifying NFTs in a hospital scenario where two types of patients are scheduled to general and specialized doctors hourly. Despite using low-cost devices, scheduling delays were minimal. Among the tested scheduling techniques—Modified Queue-based, Reinforcement Learning (RL), and Deep Reinforcement Learning (Deep RL)—the Modified Queue-based method showed the least delay, proving efficient for our EMS. © 2024 IEEE.</t>
  </si>
  <si>
    <t xml:space="preserve">R453</t>
  </si>
  <si>
    <t xml:space="preserve">ELHE: AN EFFICIENT AND RELIABLE LIGHT WEIGHT HOMOMORPHIC CRYPTOGRAPHIC ALGORITHM FOR EDGE COMPUTING</t>
  </si>
  <si>
    <t xml:space="preserve">Jyothisree, M.V.R.; Sathish, K.; Bhavana, D.; Rao, P.S.; Jyothula, H.; Polamuri, S.R.; Kumar, M.S.; Lakshmi, P.A.</t>
  </si>
  <si>
    <t xml:space="preserve">Journal of Theoretical and Applied Information Technology</t>
  </si>
  <si>
    <t xml:space="preserve">This paper presents ELHE (Edge-optimized Lightweight Homomorphic Encryption), a novel lightweight homomorphic cryptographic algorithm designed to solve the problem of secure computation on resource-constrained edge devices — enabling encrypted data to be processed without decryption, preserving confidentiality end-to-end even on microcontroller-class hardware. The basis of ELHE is a simplified instance of the Ring Learning With Errors (RLWE) problem, a widely used hardness assumption in lattice-based cryptography. By reducing RLWE parameters and streamlining noise control, ELHE minimizes computational overhead while maintaining robust security guarantees. The algorithm has a clever parameter tuning approach that balances security levels against performance requirements carefully, such that even in lower configurations, a 128-bit security level is guaranteed. This architecture makes ELHE amenable to being deployed on average edge devices like the Raspberry Pi 4 and ESP32, where conventional homomorphic encryption approaches would be impractical because they are computationally and memory intensive. Performance testing emphasizes the performance of ELHE, demonstrating that it attains a 62% decrease in computational overhead than conventional homomorphic encryption schemes. Homomorphic addition and multiplication operations took 3.2 milliseconds and 18.7 milliseconds, respectively, on actual edge hardware. ELHE also uses merely 7.4% of available memory resources, thus rendering it very suitable for limited computing environments. These advances show that high-assurance data privacy using homomorphic encryption is possible even in low-resource systems, without the need for high-power centralized infrastructure. With respect to security, ELHE is still strong against well-known cryptanalytic techniques used for lattice-based schemes. The smaller parameter sizes are well designed to defend against algebraic, statistical, and side-channel attacks while yet facilitating practical deployment. The design also accommodates flexible deployment to enable developers to tailor encryption strength and performance to match particular application requirements. ELHE therefore embodies a proactive strategy to ensure edge computing, providing a trustworthy cryptographic solution that addresses both the performance needs and security requirements of next-generation computing systems. © Little Lion Scientific</t>
  </si>
  <si>
    <t xml:space="preserve">R454</t>
  </si>
  <si>
    <t xml:space="preserve">Experimental results of using AES-128 in LoRaWAN</t>
  </si>
  <si>
    <t xml:space="preserve">Nouar, A.; Abbes, M.T.; Boumerdass, S.; Chaib, M.</t>
  </si>
  <si>
    <t xml:space="preserve">Scientific and Technical Journal of Information Technologies, Mechanics and Optics</t>
  </si>
  <si>
    <t xml:space="preserve">10.17586/2226-1494-2025-25-5-923-932</t>
  </si>
  <si>
    <t xml:space="preserve">In the Internet of Things (IoT), Low Power Wide Area Networks (LPWAN) technologies have been obtaining considerable attention. Long-Range Wide-Area Networks (LoRaWAN) was created by the Long Range (LoRa) Alliance as an open standard operating over the unlicensed band. Its advantages include a large coverage area, low power consumption, and inexpensive transceiver chips. The standard of LoRaWAN encryption uses a 128-bit symmetric algorithm called Advanced Encryption Standard (AES). This standard secures communication and entities which are beneficial for resource-constrained devices on the IoT for efficient communication and security. The security problems with LoRa networks and devices remain an important challenge considering the technology large deployment for numerous applications. Even though LoRaWAN network architecture and security have been enhanced by the LoRa Alliance, the most recent version still has some weaknesses such as its susceptibility to attacks. Many studies and researchers have indicated that LoRaWAN versions 1.0 and 1.1 have security risks and vulnerabilities. This research proposes a method to construct and integrate cryptographic algorithms (AES-128) within widely utilized wireless Network Server Simulators NS-3. This module aims to increase the security of data in LoRa networks by protecting critical information from unauthorized access. Consequently, implementing the AES-128 encryption algorithm within the NS-3 simulator will benefit the scientific community greatly. This will enable an examination of the impact of various security measures on network performance metrics, including latency, overhead, energy consumption, throughput, and packet size. © Nouar A., Tahar Abbes M., Boumerdassi S., Chaib M., 2025.</t>
  </si>
  <si>
    <t xml:space="preserve">R455</t>
  </si>
  <si>
    <t xml:space="preserve">Securing Patient Data in IoT Devices: A Blockchain-NFT Approach for Privacy, Security, and Authentication</t>
  </si>
  <si>
    <t xml:space="preserve">10.5220/0012764800003767</t>
  </si>
  <si>
    <t xml:space="preserve">The Internet of Things (IoT) is poised to revolutionize healthcare by enabling remote patient monitoring and data access from any device. However, ensuring secure and flexible access control on IoT device-based systems remains a challenge, especially when handling multiple users with varying privileges at different points in time. Most of the current proprietary IoT products have a data pipeline where the measured data is sent to cloud-based servers before any access is possible. This creates data privacy issues, access problems or devices not working when Internet connectivity is not perfect. An ideal solution for an IoT-based system is one in which data can be stored and accessed on device in real-time with additional cloud-based storage and access for later use. To address these challenges, we propose a Blockchain-based Non-Fungible Token (NFT) based mechanism for IoT systems. Our system uses Blockchain technology to provide untameable NFT access keys, ensuring only authorized individuals can access patient data on a given IoT device. We conducted an experimental study using ESP32 microcontroller, Beaglebone Black boards, and Raspberry Pi devices to evaluate the effectiveness of our approach. Our results show that this approach is suitable for deployment on resource-constrained devices, with minimal computational requirements and negligible delays. Additionally, we implemented a Zero-trust type of architecture where no implicit trust is granted to any user or device, regardless of prior successful authentication and authorization validation. We find that the delays due to the additional processing of NFTs are negligible even within such constraints. Our findings demonstrate that utilizing NFTs for access control of patient data on resource-constrained IoT devices is feasible and offers a secure and scalable solution for developing cost-effective and safe IoT systems for healthcare. © 2024 by SCITEPRESS – Science and Technology Publications, Lda.</t>
  </si>
  <si>
    <t xml:space="preserve">R456</t>
  </si>
  <si>
    <t xml:space="preserve">CipherStack: A Dual-Layered Encryption Architecture Using Historical Rotor Logic and Polymorphic Encoding</t>
  </si>
  <si>
    <t xml:space="preserve">Patil, K.; Gutte, V.S.; Gunale, K.</t>
  </si>
  <si>
    <t xml:space="preserve">Proceedings of 10th International Conference on Communication and Electronics Systems, ICCES 2025</t>
  </si>
  <si>
    <t xml:space="preserve">10.1109/icces67310.2025.11336308</t>
  </si>
  <si>
    <t xml:space="preserve">This paper proposes CipherStack, a dual-layer encryption architecture that serially combines an Enigma-inspired rotor stage with a session-mutating polymorphic software stage to harden low-resource IoT links against brute-force, frequency, and pattern attacks. A working ESP32 prototype with servo-emulated rotors and a Python polymorphic encoder achieved bit-exact end-to-end recovery while maintaining latency acceptable for short, intermittent sensor messages on constrained links. Measured security proxies showed average avalanche change of ≈ 30% for one-bit flips, NPCR ≈ 95.5%, UACI ≈ 3.4%, and simulated IND-CPA success ≈ 50%, indicating correctness and pattern disruption with clear headroom for authenticated encryption and stronger diffusion in future iterations. Contributions include a modular hybrid design, a synchronized key/rotor workflow, an IoT-class implementation, and a security evaluation matrix to guide quantitative testing and tuning. The prototype and analysis demonstrate feasibility for local IoT messaging, embedded education, and defense-in-depth designs that mix physical state evolution with adaptive transforms on constrained devices. © 2025 IEEE.</t>
  </si>
  <si>
    <t xml:space="preserve">R457</t>
  </si>
  <si>
    <t xml:space="preserve">Cryptographic load sharing method in critical infrastructure sensor networks</t>
  </si>
  <si>
    <t xml:space="preserve">Faure, E.; Rozlomii, I.; Naumenko, S.</t>
  </si>
  <si>
    <t xml:space="preserve">This paper presents an adaptive method for distributing cryptographic tasks across nodes in sensor networks operating under constrained conditions of critical infrastructure systems. The proposed approach addresses the challenge of resource-aware encryption by introducing a utility-based decision-making algorithm that evaluates each node's residual energy level, current computational load, communication latency, and topological role (e.g., relay, aggregator). A composite utility index is calculated for every candidate node using normalized metrics and empirically determined weight coefficients. The node with the highest utility value is selected to execute the cryptographic operation. The method ensures balanced load distribution and prevents congestion of critical nodes by assigning lower priority to those serving routing or aggregation functions. Additionally, a hybrid encryption strategy is supported: energy-constrained nodes utilize lightweight cryptographic algorithms such as Ascon, GIFT-COFB, and TinyJAMBU, while high-performance nodes are capable of executing more robust or layered encryption schemes. A built-in fallback mechanism allows the procedure to restart in case the selected executor node becomes unavailable, thereby enhancing the system's resilience and adaptability. To evaluate the effectiveness of the proposed method, experimental modeling was conducted using ESP32-S3 microcontroller platforms. The results demonstrate reduced average energy consumption, improved task delegation efficiency, and scalability of the algorithm in local cluster environments. A flowchart of the task delegation procedure and a comparative chart of strategy performance based on load balancing criteria are presented. The method is applicable to secure data transmission in sensor-based monitoring systems within critical infrastructure domains. © 2025 CEUR-WS. All rights reserved.</t>
  </si>
  <si>
    <t xml:space="preserve">R458</t>
  </si>
  <si>
    <t xml:space="preserve">A New Lightweight Encryption Method Based on the DNA-RC4 Substitution for Resource-Constrained IoT Devices</t>
  </si>
  <si>
    <t xml:space="preserve">Iraqi Journal for Computer Science and Mathematics</t>
  </si>
  <si>
    <t xml:space="preserve">10.52866/2788-7421.1287</t>
  </si>
  <si>
    <t xml:space="preserve">Technology’s impact on daily life necessitates increased data protection. Cryptographic systems improve security, ensuring confidentiality and legitimacy of Internet of Things systems. However, resource-constrained devices face challenges like memory, battery life, processing power, and small size. In light of this, lightweight cryptography (LWC) provides techniques specifically tailored to the constraints of resource-constrained Internet of Things devices. However, the presence of a fixed S-Box in some LWC algorithms, such as Advanced Encryption Standard, or the absence of one in others, such as Speck and Tiny Encryption Algorithm, renders them more susceptible to attacks. In this paper, we suggest a new lightweight encryption method (NeLEM) based on the DNA-RC4 substitution for resource-constrained IoT devices. NeLEM is an innovative one-round lightweight encryption method that uses a 16 × 16 substitution S-box. NeLEM combines the high complexity feature found in DNA sequences with the RC4’s light and fast algorithm. NeLEM uniquely balances robust security with computational simplicity, ensuring that the S-box is cryptographically strong and lightweight. By integrating the inherent unpredictability and nonlinearity of DNA with the streamlined simplicity of RC4, NeLEM generates highly efficient S-boxes capable of resisting cryptanalytic attacks while keeping resource consumption minimal. We conduct several security tests on the suggested scheme to evaluate the strength of the encryption method. These tests include histogram analysis, entropy, correlation coefficient, encryption quality (PSNR, MSE, MD, ID), and how well it stands up to different noise attacks. Using randomness tests like the NIST Statistical Test Suite, the results also showed how well the proposed NeLEM creates reliable random sequences. We implement the suggested NeLEM using the ESP32 microcontroller. In terms of efficiency and security level, NeLEM is compared with a popular lightweight encryption algorithm, Speck. According to the experiment’s findings, the suggested NeLEM outperforms Speck by 6.7 times, High productivity was achieved that exceeds both algorithms. © 2025 The Author(s).</t>
  </si>
  <si>
    <t xml:space="preserve">R459</t>
  </si>
  <si>
    <t xml:space="preserve">Data Communication Security for FANETs Using Ascon Lightweight Cryptography</t>
  </si>
  <si>
    <t xml:space="preserve">Pham-Thi, H.-T.; Bui, D.-H.; Tran, X.-T.</t>
  </si>
  <si>
    <t xml:space="preserve">Proceedings of the 2025 10th International Conference on Integrated Circuits, Design, and Verification, ICDV 2025</t>
  </si>
  <si>
    <t xml:space="preserve">10.1109/icdv66179.2025.11134863</t>
  </si>
  <si>
    <t xml:space="preserve">Flying Ad-hoc Network (FANET) is a wireless network designed for Unmanned Aerial Vehicles (UAVs). FANET allows many UAVs to connect and exchange data with each other and with ground devices without the need for a fixed network infrastructure. However, data exchange between UAVs in a FANET faces many security risks. This paper proposes a data communication security solution using the lightweight cryptographic standard Ascon designed for resource-constrained devices such as UAVs. The solution is implemented on the STM32WL55JC development kit with an integrated LoRa module, and its performance is evaluated in terms of code size, stack usage, throughput, and power consumption. Experimental results show that this solution protects UAVs against common communication attacks while consuming few resources. With input data ranging from 8 to 245 bytes, Ascon outperforms AES in terms of efficiency. It reduces energy consumption by nearly 50% compared to traditional AES, enabling UAVs to operate more efficiently, extend flight time, and enhance overall system performance in resource-constrained environments. © 2025 IEEE.</t>
  </si>
  <si>
    <t xml:space="preserve">R460</t>
  </si>
  <si>
    <t xml:space="preserve">Side-Channel Attacks on ESP32-S3 Using Correlation Power Analysis</t>
  </si>
  <si>
    <t xml:space="preserve">Zuo, Y.; Ren, S.</t>
  </si>
  <si>
    <t xml:space="preserve">10.1109/naecon65708.2025.11235342</t>
  </si>
  <si>
    <t xml:space="preserve">This paper presents a practical implementation of a side-channel attack using Correlation Power Analysis (CPA) against the ESP32-S3 microcontroller executing AES-128 encryption in software. Experimental procedures, attack methodology, and data acquisition techniques are discussed. Partial key recovery was achieved using modest equipment, demonstrating the vulnerability of embedded systems to side-channel attacks.  © 2025 IEEE.</t>
  </si>
  <si>
    <t xml:space="preserve">R461</t>
  </si>
  <si>
    <t xml:space="preserve">Real-Time Secure Motion Control with Aes-Gcm over Dual-Channel IoT Communication</t>
  </si>
  <si>
    <t xml:space="preserve">Jeyasoundari, J.; Sridevi, S.; Raja, C.; Gunaseelan, T.</t>
  </si>
  <si>
    <t xml:space="preserve">2025 17th IEEE International Conference on Computational Intelligence and Communication Networks, CICN 2025</t>
  </si>
  <si>
    <t xml:space="preserve">10.1109/cicn67655.2025.11368088</t>
  </si>
  <si>
    <t xml:space="preserve">This study introduces a simple and safe motion control system based on resource-constrained Internet of Things hardware. The system uses an ESP32 microcontroller with an MPU6050 motion sensor to record roll and pitch movements, which are then mapped to forward, backward, left, and right driving instructions. AES-GCM encryption is used to protect motion commands, which provide confidentiality and integrity. It uses a dual-channel design in which commands are sent by an ESP32 over an NRF24L01 module to an Arduino Nano with an L298N motor driver to actuate the motor with low latency. MQTT broadcasts encrypts telemetry to record in the cloud server. The MQTT data are recorded in a MySQL database and visualized on Grafana dashboards to enable real-time telemetry. The experimental validation demonstrates that AES-GCM has a significant overhead (approximately 0.35 ms encryption and 0.40 ms decryption) compared to normal flow. This maintains the MQTT transmission time under 5-8 ms and RF actuation under 2 ms to maintain real-time responsiveness. The proposed framework shows that it is possible to implement robust, lightweight security into motion-driven autonomous control without affecting performance, thereby proposing a scalable approach to smart mobility and IoT applications. © 2025 IEEE.</t>
  </si>
  <si>
    <t xml:space="preserve">R462</t>
  </si>
  <si>
    <t xml:space="preserve">Enhancing Resilience in Digital Twins: ASCON-Based Security Solutions for Industry 4.0</t>
  </si>
  <si>
    <t xml:space="preserve">El-Hajj, M.; Gebremariam, T.H.</t>
  </si>
  <si>
    <t xml:space="preserve">Network</t>
  </si>
  <si>
    <t xml:space="preserve">10.3390/network4030013</t>
  </si>
  <si>
    <t xml:space="preserve">Persistent security challenges in Industry 4.0 due to the limited resources of IoT devices necessitate innovative solutions. Addressing this, this study introduces the ASCON algorithm for lightweight authenticated encryption with associated data, enhancing confidentiality, integrity, and authenticity within IoT limitations. By integrating Digital Twins, the framework emphasizes the need for robust security in Industry 4.0, with ASCON ensuring secure data transmission and bolstering system resilience against cyber threats. Practical validation using the MQTT protocol confirms ASCON’s efficacy over AES-GCM, highlighting its potential for enhanced security in Industry 4.0. Future research should focus on optimizing ASCON for microprocessors and developing secure remote access tailored to resource-constrained devices, ensuring adaptability in the digital era. © 2024 by the authors.</t>
  </si>
  <si>
    <t xml:space="preserve">R463</t>
  </si>
  <si>
    <t xml:space="preserve">Vulnerabilities in IoT device clusters: Analysing security weaknesses and attack impacts</t>
  </si>
  <si>
    <t xml:space="preserve">Das, P.; Banerjee, A.; Mandal, P.; Chakraborty, B.; Singh, A.; Kovuri, K.; Saha, S.; Tallapragada, B.; Ganugapati, V.</t>
  </si>
  <si>
    <t xml:space="preserve">Data-Driven AI: A Multidisciplinary Approach: Techniques, Applications, and Insights from Multiple Domains</t>
  </si>
  <si>
    <t xml:space="preserve">10.1201/9781003753377-39</t>
  </si>
  <si>
    <t xml:space="preserve">Although the Internet of Things (IoT) has transformed connectivity in smart homes, industrial systems, and urban infrastructure, it is still extremely susceptible to changing security risks. This paper simulates Deauthentication, Man-in-the-Middle, Evil Twin, and DDoS attacks against WPA2/WPA3 protocols in order to examine critical vulnerabilities within IoT clusters. Using Raspberry Pi boards and ESP32 microcontrollers, we have set up IoT device clusters to gather network traffic in both hostile and benign environments. To create a labelled dataset for supervised classification, packet flows are classified as benign or malicious using unsupervised real-time clustering using the BIRCH algorithm. After evaluating several machine learning classifiers, XGBoost showed the best detection accuracy and resilience in differentiating between legitimate and attack traffic. Persistent IoT vulnerabilities, such as insufficient authentication methods, constrained processing power, and an excessive dependence on Wi-Fi protocols, are revealed by our analysis. In order to secure resource-constrained IoT clusters and increase the resilience of linked systems, the suggested clustering-guided labelling in conjunction with supervised learning provides a scalable, real-time solution. © 2026 selection and editorial matter, Dimpal Jyoti Mahanta, Dibya Jyoti Bora, Biju Kumar Dutta, Himashree Mahanta, individual chapters, the contributors.</t>
  </si>
  <si>
    <t xml:space="preserve">R464</t>
  </si>
  <si>
    <t xml:space="preserve">AI-Driven Key Length Optimization for Energy-Efficient RSA in IoT Networks</t>
  </si>
  <si>
    <t xml:space="preserve">Singh, A.; Sharma, C.; Deo, P.N.; Gautam, D.</t>
  </si>
  <si>
    <t xml:space="preserve">The rapid proliferation of Internet of Things (IoT) ecosystems has intensified the demand for secure communication among resource-constrained devices, yet traditional RSA cryptography imposes prohibitive computational and energy costs on low-power nodes as larger key sizes are required for adequate security. This paper introduces an AI-driven adaptive framework that dynamically optimizes RSA key lengths to achieve an efficient security-energy trade-off in IoT environments. The approach formulates the problem as a constrained multi-objective optimization and employs a lightweight reinforcement learning agent, trained offline and deployed on-device, to select the most suitable key length (2048-bit or 3072-bit) based on real-time contextual factors including battery level, system load, and dynamic threat exposure. Extensive evaluations were performed through high-fidelity cycle-accurate simulations calibrated to real ESP32 and ARM Cortex-M4 hardware profiles. Results demonstrate that the adaptive system reduces average energy consumption by 58% and computational latency by 58% compared to a static 3072-bit configuration, while delivering a comparable security level (average 115-bit equivalent). Pareto frontier analysis confirms that intelligent switching between 2048-bit and 3072-bit keys yields the most practical balance for IoT deployments. These findings highlight how context-aware cryptographic adaptation can significantly enhance the energy efficiency and operational sustainability of secure IoT systems without sacrificing required security guarantees. © Grenze Scientific Society, 2026.</t>
  </si>
  <si>
    <t xml:space="preserve">R465</t>
  </si>
  <si>
    <t xml:space="preserve">Pirates of the GNSS: Antipiracy and Antispoofing Security for Augmented GNSS Services</t>
  </si>
  <si>
    <t xml:space="preserve">Perazzo, P.; Vallati, C.; Lenzarini, D.</t>
  </si>
  <si>
    <t xml:space="preserve">10.1109/jiot.2026.3678187</t>
  </si>
  <si>
    <t xml:space="preserve">—Global Navigation Satellite Systems (GNSSs) are a key enabler for many new technologies, ranging from autonomous vehicles to shared mobile devices. In order to ensure high precision for those applications, GNSS augmentation systems are needed to provide correction data to reach an accuracy that is in the order of centimeters. Those systems can be provided as paid services where correction data are broadcast over a satellite link. In order to protect those systems and restrict their access only to paying users, we must adopt encryption mechanisms designed to avoid that pirates redistribute or resell the decryption key to unauthorized parties. At the same time, integrity protection mechanisms are needed to avoid active attackers inject malicious GNSS augmentation data, which could disrupt or mislead the positioning. These objectives are made challenging by the peculiarities of satellite communication for the GNSS augmentation, in which bandwidth is scarce, and receivers are resource-constrained. In this article, we propose antipiracy broadcast encryption (APBE) and succinct immediate authentication (SIA), two methods to enhance the GNSS augmentation service security by providing protection against, respectively, pirate customers and active attackers. Both methods are specifically tailored to minimize bandwidth and processing time on the receiver. We demonstrate their feasibility via a proof-of-concept implementation on an ESP32 embedded system. We also measure the APBE and SIA performance under various configurations, each giving a different security/performance tradeoff. APBE and SIA are candidate mechanisms to be included in the future versions of SPARTN, which is an open industry standard for GNSS augmentation. © 2026 The Authors.</t>
  </si>
  <si>
    <t xml:space="preserve">R466</t>
  </si>
  <si>
    <t xml:space="preserve">Design and Implementation of a Secure MQTT Architecture for IoT Systems Using TLS and Token-Based Authorization</t>
  </si>
  <si>
    <t xml:space="preserve">Minasyan, H.; Hakobyan, H.</t>
  </si>
  <si>
    <t xml:space="preserve">International Conference on Electrical, Computer, and Energy Technologies, ICECET 2026</t>
  </si>
  <si>
    <t xml:space="preserve">10.1109/icecet65726.2026.11632553</t>
  </si>
  <si>
    <t xml:space="preserve">MQTT is widely adopted in IoT deployments but offers no built-in encryption or strong authentication. Existing solutions such as the IETF ACE-MQTT-TLS profile require dedicated authorization servers and dynamic token flows, raising deployment complexity for resource-constrained environments. This paper presents a practical secure MQTT architecture that combines Transport Layer Security (TLS) 1.3 with statically provisioned JSON Web Token (JWT) authorization, targeting ESP32-S3 and ESP32-C6 microcontrollers with hardware cryptographic acceleration. A Python-based broker management graphical user interface (GUI) automates Mosquitto configuration and JWT issuance, removing manual setup errors. Measured on real hardware, TLS 1.3 connection time is 315-380 ms and steady-state throughput decreases by only 9%, with an additional heap memory requirement of approximately 42 KB. The results confirm that multi-layered IoT security - encompassing mutual authentication, AES-GCM encrypted transport, and fine-grained access control - is feasible on commodity microcontrollers without specialized infrastructure. © 2026 IEEE.</t>
  </si>
  <si>
    <t xml:space="preserve">R467</t>
  </si>
  <si>
    <t xml:space="preserve">SEAL-embedded: A homomorphic encryption library for the internet of things</t>
  </si>
  <si>
    <t xml:space="preserve">Natarajan, D.; Dai, W.</t>
  </si>
  <si>
    <t xml:space="preserve">IACR Transactions on Cryptographic Hardware and Embedded Systems</t>
  </si>
  <si>
    <t xml:space="preserve">10.46586/tches.v2021.i3.756-779</t>
  </si>
  <si>
    <t xml:space="preserve">The growth of the Internet of Things (IoT) has led to concerns over the lack of security and privacy guarantees afforded by IoT systems. Homomorphic encryption (HE) is a promising privacy-preserving solution to allow devices to securely share data with a cloud backend; however, its high memory consumption and computational overhead have limited its use on resource-constrained embedded devices. To address this problem, we present SEAL-Embedded, the first HE library targeted for embedded devices, featuring the CKKS approximate homomorphic encryption scheme. SEAL-Embedded employs several computational and algorithmic optimizations along with a detailed memory re-use scheme to achieve memory efficient, high performance CKKS encoding and encryption on embedded devices without any sacrifice of security. We additionally provide an “adapter” server module to convert data encrypted by SEAL-Embedded to be compatible with the Microsoft SEAL library for homomorphic encryption, enabling an end-to-end solution for building privacy-preserving applica-tions. For a polynomial ring degree of 4096, using RNS primes of 30 or fewer bits, our library can be configured to use between 64–137 KB of RAM and 1–264 KB of flash data, depending on developer-selected configurations and tradeoffs. Using these parameters, we evaluate SEAL-Embedded on two different IoT platforms with high performance, memory efficient, and balanced configurations of the library for asymmetric and symmetric encryption. With 136 KB of RAM, SEAL-Embedded can perform asymmetric encryption of 2048 single-precision numbers in 77 ms on the Azure Sphere Cortex-A7 and 737 ms on the Nordic nRF52840 Cortex-M4. © 2021, Ruhr-University of Bochum. All rights reserved.</t>
  </si>
  <si>
    <t xml:space="preserve">R468</t>
  </si>
  <si>
    <t xml:space="preserve">A Hybrid Monitoring Framework for Anomaly Detection in Smart Home IoT Devices</t>
  </si>
  <si>
    <t xml:space="preserve">Anand, S.; Kandregula, L.; Szydlo, T.; Ranjan, R.; Jha, D.N.</t>
  </si>
  <si>
    <t xml:space="preserve">Proceedings of the 18th IEEE/ACM International Conference on Utility and Cloud Computing, UCC 2025</t>
  </si>
  <si>
    <t xml:space="preserve">10.1145/3773274.3774927</t>
  </si>
  <si>
    <t xml:space="preserve">The rapid expansion of smart home ecosystems has led to widespread deployment of Internet of Things (IoT) devices, many of which are built on resource-constrained system-on-chip (SoC). While these devices offer significant convenience and automation, their limited internal visibility and lack of strong built-in security mechanisms make them vulnerable to a range of cyber threats. Existing monitoring approaches primarily rely on network-level analysis, which, although non-intrusive, has become increasingly insufficient due to the adoption of encryption protocols and emerging standards like Matter that hide payload content. Moreover, network-only methods are unable to detect internal device anomalies, such as memory leaks, task scheduling issues, or abnormal system usage that often precede visible attacks. In this paper, we propose a hybrid monitoring framework that integrates network-level traffic analysis with device-level telemetry to enable more comprehensive and resilient anomaly detection. Our evaluation leverages a combination of commercial smart home devices, including Matter-enabled and Tasmota-based bulbs and switches, and a custom ESP32-based emulator that provides fine-grained access to internal system metrics. We evaluate these devices under realistic attack scenarios, including Denial-of-Service (DoS) and Man-in-the-Middle (MitM), and demonstrate that our hybrid monitoring approach can detect anomalies effectively. © 2025 Copyright held by the owner/author(s).</t>
  </si>
  <si>
    <t xml:space="preserve">R469</t>
  </si>
  <si>
    <t xml:space="preserve">A Recovery-Mechanism-Driven Wireless Group Key Generation Protocol for Multiuser Scenarios</t>
  </si>
  <si>
    <t xml:space="preserve">Zhang, H.; Huang, Y.; Yu, J.; Liu, B.; Hu, A.</t>
  </si>
  <si>
    <t xml:space="preserve">10.1109/jiot.2024.3503906</t>
  </si>
  <si>
    <t xml:space="preserve">Physical-layer key generation (PKG) leveraging the reciprocity of wireless channel provides an effective approach for key agreement among resource-constrained Internet of Things devices. However, current researches on PKG predominantly focus on pairwise communication scenarios, and there remain challenges in achieving group key generation for multiuser scenarios. In this article, we propose a novel recovery mechanism-driven wireless group key generation protocol to facilitate key sharing in the star network typology. Specifically, the root node will assign each member node its unique group key component before initiating group key distribution. Subsequently, all group key components are distributed to member nodes using a forward error correction mechanism, which helps reduce system overhead. Finally, all member nodes utilize a recovery mechanism and their respective group key component to obtain the same complete group key, thereby achieving group key distribution. Compared to existing schemes, our protocol can avoid the significant information leakage caused by repeated distribution of the same group key, thereby enhancing security. We further design and implement a practical wireless group key generation system using ESP32. Additionally, a group channel state information (CSI) extraction tool for multiuser channel measurements is developed. Experimental results demonstrate that our protocol can generate the group key with high randomness while benefiting from good channel reciprocity, making it suitable for cryptographic applications in multiuser communication scenarios.  © 2014 IEEE.</t>
  </si>
  <si>
    <t xml:space="preserve">R470</t>
  </si>
  <si>
    <t xml:space="preserve">Lattice-Based Threshold Signature Implementation for Constrained Devices</t>
  </si>
  <si>
    <t xml:space="preserve">Dobias, P.; Ricci, S.; Dzurenda, P.; Malina, L.; Snetkov, N.</t>
  </si>
  <si>
    <t xml:space="preserve">10.5220/0012112700003555</t>
  </si>
  <si>
    <t xml:space="preserve">Threshold signatures have gained increased attention especially due to their recent applications in blockchain technologies. In fact, current cryptocurrencies such as Bitcoin, and Cardano started to support multi-signature transactions. Even if the Schnorr-based threshold signatures improve the blockchain’s privacy and scalability, these schemes do not provide post-quantum security. In this paper, we propose the optimization of the DS2 lattice-based (n, n)-threshold signature scheme and present its practical implementation. Moreover, we evaluate our optimized implementation of the DS2 scheme on different platforms. The results demonstrate that our implementation is easily portable and executable on constrained devices based on ARM Cortex-A53, ARM Cortex-M3, and ESP32 architectures. © 2023 by SCITEPRESS - Science and Technology Publications, Lda. Under CC license (CC BY-NC-ND 4.0).</t>
  </si>
  <si>
    <t xml:space="preserve">R471</t>
  </si>
  <si>
    <t xml:space="preserve">Performance Evaluation of ChaosFortress Lightweight Cryptographic Algorithm for Data Security in Water and Other Utility Management</t>
  </si>
  <si>
    <t xml:space="preserve">Raphael, R.; Sarukkalige, R.; Narasimhan, S.; Agrawal, H.</t>
  </si>
  <si>
    <t xml:space="preserve">10.3390/s25165103</t>
  </si>
  <si>
    <t xml:space="preserve">The Internet of Things (IoT) has become an integral part of today’s smart and digitally connected world. IoT devices and technologies now connect almost every aspect of daily life, generating, storing, and analysing vast amounts of data. One important use of IoT is in utility management, where essential services such as water are supplied through IoT-enabled infrastructure to ensure fair, efficient, and sustainable delivery. The large volumes of data produced by water distribution networks must be safeguarded against manipulation, theft, and other malicious activities. Incidents such as the Queensland user data breach (2020–21), the Oldsmar water treatment plant attack (2021), and the Texas water system overflow (2024) show that attacks on water treatment plants, distribution networks, and supply infrastructure are common in Australia and worldwide, often due to inadequate security measures and limited technical resources. Lightweight cryptographic algorithms are particularly valuable in this context, as they are well-suited for resource-constrained hardware commonly used in IoT systems. This study focuses on the in-house developed ChaosFortress lightweight cryptographic algorithm, comparing its performance with other widely used lightweight cryptographic algorithms. The evaluation and comparative testing used an Arduino and a LoRa-based transmitter/receiver pair, along with the NIST Statistical Test Suite (STS). These tests assessed the performance of ChaosFortress against popular lightweight cryptographic algorithms, including ACORN, Ascon, ChaChaPoly, Speck, tinyAES, and tinyECC. ChaosFortress was equal in performance to the other algorithms in overall memory management but outperformed five of the six in execution speed. ChaosFortress achieved the quickest transmission time and topped the NIST STS results, highlighting its strong suitability for IoT applications. © 2025 by the authors.</t>
  </si>
  <si>
    <t xml:space="preserve">R472</t>
  </si>
  <si>
    <t xml:space="preserve">A Survey for Security of IoT Wireless Protocols</t>
  </si>
  <si>
    <t xml:space="preserve">Zhang, W.; Zeng, F.; Tao, Y.; Li, X.</t>
  </si>
  <si>
    <t xml:space="preserve">Journal of Cyber Security</t>
  </si>
  <si>
    <t xml:space="preserve">10.19363/j.cnki.cn10-1380/tn.2022.03.04</t>
  </si>
  <si>
    <t xml:space="preserve">In recent years, with the rapid development of the Internet of Things, its application scenarios have covered smart home, smart city, smart medical treatment, smart industry and smart agriculture. Compared with traditional Ethernet, the Internet of Things can combine various sensing devices with the network to realize the interconnection of people, computers and objects. Various IoT protocols are the keys to realize the interconnection of Internet of Things devices. IoT protocols occupy different protocol stacks, which make the IoT protocols show different characteristics. At present, ZigBee, BLE, Wi-Fi, LoRa, RFID and so on are widely used. These IoT protocols can be applied to different application scenarios according to their own characteristics. For example, LoRa is widely used in LPWAN and RFID is used for device recognition. However, as IoT end devices only occupy limited computing and storage resources, it is impossible to implement a complete security algorithm for them. Many IoT protocols balance their power consumption and security, so it is necessary to evaluate the security of IoT protocols. This paper describes the security capabilities of these Internet of Things protocols, including the rules of IoT protocols implemented in protecting confidentiality, integrity and identity authentication. Then we analyze the security problems of each protocol from the common wireless protocol attacks, including eavesdropping attack, replay attack, battery depletion and RF interference. We analyze the IoT protocols' behaviors while facing these wireless attacks. Besides, we compare some common IoT protocols on security properties and reactions while facing attacks and we conclude relevant research works about IoT protocols' security. At the end of this paper, we prospect and summarize the development direction of Internet of Things protocol security, and believe that it is an effective method to improve the security of IoT protocols by combining formal verification, lightweight encryption technology and blockchain technology. © 2022, China Science Publishing &amp; Media LTD. All right reserved.</t>
  </si>
  <si>
    <t xml:space="preserve">R473</t>
  </si>
  <si>
    <t xml:space="preserve">Internet of Medical Things (IoMT) and Telemedicine</t>
  </si>
  <si>
    <t xml:space="preserve">Aggarwal, S.K.; Sachdeva, M.; Kumar, D.</t>
  </si>
  <si>
    <t xml:space="preserve">Empowering Healthcare through AI and Blockchain</t>
  </si>
  <si>
    <t xml:space="preserve">10.1002/9781394261833.ch6</t>
  </si>
  <si>
    <t xml:space="preserve">The Internet of Medical Things (IoMT) is the collection of medical devices and applications that connect to healthcare IT systems through computer networks. Medical devices equipped with Wi-Fi, Bluetooth, cellular networks, Ethernet, and low-power wide-area networks (LPWANs) like LoRa and NB-IoT allow the machine-to-machine communication that is the basis of IoMT. IoMT devices link to cloud platforms such as Amazon Web Services (AWS), on which captured data can be stored and analyzed. IoMT is also known as healthcare IoT. As is the case with the latest Internet of Things (IoT), there are now more possible applications of IoMT than before. Consumers now can connect mobile devices built with near-field communication (NFC) radio frequency identification (RFID) tags and other connecting sensors that allow the devices to share information with IT systems. The IoT devices are typically connected to the Internet via an Internet protocol (IP) network. However, devices such as bluetooth and RFID allow IoT devices to connect locally. As far as the IoT communication protocols or technologies are concerned, a mix of both IP and non-IP networks can be considered depending on usage. IoT protocols and standards will also be covered, like HTTP, long-range wide area networks, bluetooth, ZigBee, message queue telemetry transport (MQTT), and constrained application protocol (CoAP). The motivation of lightweight cryptography is to use less memory, fewer computing resources, and less power supply to provide security solutions that can work over resource-limited devices. Lightweight cryptography is expected to be simpler and faster than conventional cryptography. This chapter covers all technological issues in extracting that data from IoMT, storing medical records, and securing medical IoT, where blockchains will provide secured and authenticated transfers of patient personal data. © 2026 The Institute of Electrical and Electronics Engineers, Inc.</t>
  </si>
  <si>
    <t xml:space="preserve">R474</t>
  </si>
  <si>
    <t xml:space="preserve">Energy-Aware RF Fingerprinting for Device Identification in Ultra-Low-Power IoT Systems</t>
  </si>
  <si>
    <t xml:space="preserve">Owusu, E.O.; Iddrisu, D.; Klogo, G.S.; Boateng, K.O.; Akowuah, E.K.</t>
  </si>
  <si>
    <t xml:space="preserve">Engineering Reports</t>
  </si>
  <si>
    <t xml:space="preserve">10.1002/eng2.70293</t>
  </si>
  <si>
    <t xml:space="preserve">The security of ultra-low-power Internet of Things (IoT) systems is critical yet challenging due to significant energy constraints. These networks are vulnerable to impersonation and data poisoning attacks, where malicious entities can mimic legitimate devices to gain access or corrupt system integrity. While traditional cryptographic solutions are often too energy-intensive for these environments, radio frequency (RF) fingerprinting offers a promising physical layer security alternative by using intrinsic hardware imperfections to uniquely identify devices. However, existing RF fingerprinting methods often overlook the severe energy budgets of battery-powered IoT devices. To address this challenge, this paper introduces two complementary deep learning models for device identification in long range wide area network systems. The first, RFNet, is a full-capacity convolutional neural network that achieves 97.48% identification accuracy. The second, TinyRFNet, is an ultra-lightweight model designed for resource-constrained hardware, maintaining 93.19% accuracy with over 34 times fewer parameters than RFNet. We further propose a dynamic, energy-aware inference strategy that adaptively selects between these two models based on the device's remaining battery level, the model's prediction confidence, and the operational context. Extensive experimental evaluation on a dataset of 30 commercial LoRa devices demonstrates that this adaptive approach achieves an overall identification accuracy of 94.54% while reducing energy consumption by 17% compared to exclusively using the high-accuracy model. This system provides robust protection against physical-layer threats with minimal energy overhead, thereby extending the operational lifetime of devices in secure, ultra-low-power IoT deployments. © 2025 The Author(s). Engineering Reports published by John Wiley &amp; Sons Ltd.</t>
  </si>
  <si>
    <t xml:space="preserve">R475</t>
  </si>
  <si>
    <t xml:space="preserve">An Experimentation on CoAP Multi Factor Authentication Mechanism with Reputation for Internet of Things Constrained Devices and Low Power Wide Area Network</t>
  </si>
  <si>
    <t xml:space="preserve">Bezerra, W.D.R.; Boing, R.D.N.; De Souza, C.A.; Westphall, C.B.</t>
  </si>
  <si>
    <t xml:space="preserve">10.1109/icoin56518.2023.10048959</t>
  </si>
  <si>
    <t xml:space="preserve">The security of constrained devices in Internet of Things presents itself as a challenge due to the limitation of existing resources. It is important to analyze appropriate security mechanisms for this resource-constrained environment, specifically for authentication. This study presents an experiment that analyzes a proposal for an original Constrained Application Protocol Multi-Factor Authentication with Reputation, in comparison to simple authentication and a reference with no authentication. From this experience it was possible to prove that multi-factor authentication with reputation is also an adequate solution for Low Power Wide Area Network and constrained devices and does not require much more resources than simple authentication. With this work it is possible to evaluate the adoption of Multi Factor Authentication with Reputation on Constrained Devices and to subsidize choices of Internet of Things projects with this type of configuration. © 2023 IEEE.</t>
  </si>
  <si>
    <t xml:space="preserve">R476</t>
  </si>
  <si>
    <t xml:space="preserve">Implementation of GOST 34.12-2018 Encryption for LoRaWAN End-devices</t>
  </si>
  <si>
    <t xml:space="preserve">Mikhailovich, P.P.; Victorovich, C.A.; Nikolayevich, Y.N.; Yuryevich, Z.M.</t>
  </si>
  <si>
    <t xml:space="preserve">Proceedings - 2021 Ural Symposium on Biomedical Engineering, Radioelectronics and Information Technology, USBEREIT 2021</t>
  </si>
  <si>
    <t xml:space="preserve">10.1109/usbereit51232.2021.9455037</t>
  </si>
  <si>
    <t xml:space="preserve">The well-known LoRaWANtandard, due to its properties, is widely used along with other technologies belonging to the class of low-power wide-area networks (LPWAN). LoRaWAN's AES-128 cryptographic protection is well known and is used in many IoT applications. At the same time, there are a number of tasks, the solution of which requires the use of additional crypto protection, in particular - the GOST 34.12-2018 standard when used in critical infrastructure systems. The paper proposes a software module for a device of the LoRaWANstandard, which implements encryption with a 128-bit block length ('Kuznyechik'). Its properties are investigated using the implementation in the IMST GmbH iM880B module. The software module assumes additional encryption, in addition to those existing in the LoRaWANstandard, to ensure information security in accordance with Russian standards. The work shows that the operation of the module leads to a slight increase in the consumption of resources (both computational and energy), which makes the proposed approach promising for industrial implementation and distinguishes it favorably from the method of hardware implementation of additional encryption. The software implementation can be used to implement lightweight encryption in tasks related to preventing operator access to transmitted data and protecting against certain types of attacks. © 2021 IEEE.</t>
  </si>
  <si>
    <t xml:space="preserve">R477</t>
  </si>
  <si>
    <t xml:space="preserve">Lightweight Secure Protocols for Low-Powered IoT Devices: Modern Ciphers, Authentication, and Machine Learning-Based Intrusion Detection †</t>
  </si>
  <si>
    <t xml:space="preserve">Alsobaie, D.; Khan, U.; Alsabhan, W.</t>
  </si>
  <si>
    <t xml:space="preserve">10.3390/s26185847</t>
  </si>
  <si>
    <t xml:space="preserve">This paper provides the design and simulation of a lightweight cryptographic protocol on smart house IoT devices using ChaCha20 and Ascon-AEAD128. The protocol, implemented in Python 3.14.6 and tested on a virtual ESP32 platform using Wokwi and CloudAMQP, uses stream cipher encryption with authenticated message tagging to provide confidentiality and integrity. Two conditions, normal and tampered transmission, were experimented to confirm tag validation and successful decryption. Findings affirmed sound detection of tampering and unauthorized access prevention, proving usefulness of current AEAD ciphers on limited devices. The protocol highlights cryptographic systems that prioritize computationally efficiency and robustness, which is essential in smart homes that have limited power and memory. The hybrid design provides confidentiality and authenticity using a minimal overhead by utilizing ChaCha20 to provide lightweight encryption and Ascon-AEAD128 as authentication. The resilience to the replay and modification attacks was demonstrated in experiments based on message queues and injected packet modifications simulating real-world conditions. Even though benchmarking of hardware was not carried out, the simulated values reveal stability and flexibility to use in low-power systems. This article emphasizes the necessity of authenticated encryption as default, which is consistent with the NIST standards and reflects the appropriateness of Ascon to new IoT security requirements. It also creates a reconfigurable structure that can be used in other highly constrained systems, such as healthcare monitoring and industrial IoT. The main contribution is the gap between theoretical cryptography and practical IoT security provided by the practical prototype. Further development will include tests on physical ESP32 modules and fine performance profiling, yet already, the current implementation proves a scalable, secure model of smart home IoT. Finally, this research demonstrates that the demand of reliable and low-power-based communication in resource constrained networks can be met efficiently without sacrificing device performance by means of lightweight cryptography. In addition to the cryptographic protocol design, this study integrates a machine learning-based intrusion detection layer trained on the Edge-IIoTset dataset, in which Logistic Regression, Decision Tree, Random Forest, and Gradient Boosting classifiers are evaluated to complement the encryption–authentication framework with anomaly-aware monitoring of network traffic. © 2026 by the authors.</t>
  </si>
  <si>
    <t xml:space="preserve">R478</t>
  </si>
  <si>
    <t xml:space="preserve">Post-quantum Entropy as a Service for Embedded Systems</t>
  </si>
  <si>
    <t xml:space="preserve">Blanco-Romero, J.; Niño, Y.G.; Mendoza, F.A.; Díaz-Sánchez, D.; Rubio, C.G.; Campo, C.</t>
  </si>
  <si>
    <t xml:space="preserve">10.1007/978-3-032-16995-2_30</t>
  </si>
  <si>
    <t xml:space="preserve">Robust entropy management in embedded systems is fundamental for cryptographic security. This work presents a complete framework for distributing quantum-generated entropy from Quantum Random Number Generators (QRNGs) to resource-constrained devices using post-quantum cryptography (PQC). The server-side contribution implements a Quantum Entropy as a Service (QEaaS) architecture featuring dual entropy access methods: direct quantum entropy via custom OpenSSL providers and mixed quantum-enhanced entropy through Linux system pools. The HTTP API serves HTTPS clients through an Nginx reverse proxy with OpenSSL, and embedded CoAP clients via CoAP-HTTP proxies using wolfSSL for DTLS and PQC algorithms. The client-side contribution extends libcoap’s Zephyr support and implements a client that builds libcoap and wolfSSL into Zephyr RTOS. We create a custom BLAKE2s-based entropy pool as replacement for the standard ESP32 entropy drivers while maintaining the Zephyr entropy API, combining local hardware entropy with received quantum entropy. © The Author(s), under exclusive license to Springer Nature Switzerland AG 2026.</t>
  </si>
  <si>
    <t xml:space="preserve">R479</t>
  </si>
  <si>
    <t xml:space="preserve">Generation of Session Keys Based on Time Tokens for Resource-Constrained IoT Devices</t>
  </si>
  <si>
    <t xml:space="preserve">Savchuk, B.; Rozlomii, I.; Yarmilko, A.; Naumenko, S.</t>
  </si>
  <si>
    <t xml:space="preserve">10.1007/978-3-032-18415-3_9</t>
  </si>
  <si>
    <t xml:space="preserve">This paper introduces an energy-efficient method for generating cryptographic session keys in resource-constrained IoT devices using time tokens derived from internal microcontroller timers. The proposed Time-Based Key Generation (TBKG) approach eliminates the need for static keys, stored passwords, or centralized synchronization, making it well-suited for autonomous and intermittently connected systems. A mathematical model is developed to define the acceptable time offset between communicating nodes, ensuring synchronization and cryptographic robustness. The method is implemented in C with real-time operating system support and tested on microcontrollers widely used in low-power embedded systems. Experimental evaluation demonstrates that the proposed solution outperforms traditional key exchange protocols by offering faster execution, lower power consumption, and minimal memory usage. In contrast to conventional approaches such as Diffie–Hellman or pre-shared keys, TBKG enables dynamic session key updates, supports forward secrecy, and reduces the risk of compromise through time-limited token validity and protection against replay attacks. The method’s lightweight architecture makes it applicable to medical, industrial, and sensor-based IoT environments, particularly where battery life, memory capacity, and real-time responsiveness are critical. The findings highlight the method’s potential as a scalable and secure key management solution for modern cyber-physical systems. Future research directions include adapting the method for multi-node networks and integrating it with context-aware cryptographic mechanisms. © The Author(s), under exclusive license to Springer Nature Switzerland AG 2026.</t>
  </si>
  <si>
    <t xml:space="preserve">R480</t>
  </si>
  <si>
    <t xml:space="preserve">Enhancing the Mypher Lightweight Cipher Using an LTT-Based Dynamic S-Box for Secure IoT Devices</t>
  </si>
  <si>
    <t xml:space="preserve">Purwanto, E.C.; Afianti, F.</t>
  </si>
  <si>
    <t xml:space="preserve">10.48084/etasr.16985</t>
  </si>
  <si>
    <t xml:space="preserve">The rapid expansion of Internet of Things (IoT) systems has significantly increased the demand for lightweight cryptographic mechanisms capable of ensuring robust data confidentiality under strict resource constraints, including limited memory, processing power, and energy consumption. Lightweight block ciphers are widely adopted in such environments; however, many existing designs still rely on static Substitution boxes (S-boxes), which introduce fixed substitution patterns that can be analyzed and exploited through linear cryptanalysis. Mypher is a lightweight block cipher designed for efficient operation on resource-constrained devices, yet its security is constrained by the use of a static 4x4 Substitution box (S-box). To address this limitation, this study proposes an enhancement to the Mypher algorithm by integrating a dynamic 4x4 S-box generated using the Linear Trigonometric Transformation (LTT) method. The proposed approach employs key-derived parameters and uses an optimized constant parameter X, selected through a nonlinearity-driven search, to generate highly nonlinear and bijective S-boxes. This optimized X value is consistently applied during both encryption and decryption to ensure correct and efficient implementation. A comprehensive security evaluation of the generated dynamic S-boxes is conducted using standard cryptographic criteria, including bijectivity, Strict Avalanche Criterion (SAC), Bit Independence Criterion (BIC), and nonlinearity analysis. The experimental results demonstrate significant improvements in cryptographic strength compared to the original Mypher and UL-AES S-boxes, indicating increased resistance to linear attacks. Furthermore, the proposed scheme is implemented and evaluated on an ESP32 microcontroller to assess its practical feasibility in real Internet of Things (IoT) environments. Performance measurements show that the integration of the LTT-based dynamic S-box introduces only a modest increase in computational cost, with encryption and decryption times increasing by approximately 7% and 6%, respectively. These results confirm that the proposed LTT-based dynamic S-box significantly enhances the security of Mypher while preserving its lightweight characteristics, making it a practical and effective cryptographic solution for securing data on resource-constrained IoT devices. © by the authors</t>
  </si>
  <si>
    <t xml:space="preserve">R481</t>
  </si>
  <si>
    <t xml:space="preserve">LWE-IoT: Evaluating Lightweight Encryption Schemes in MQTT and CoAP IoT Protocols</t>
  </si>
  <si>
    <t xml:space="preserve">Suleiman, F.; Javeed, K.; Raza, S.</t>
  </si>
  <si>
    <t xml:space="preserve">International Journal of Circuit Theory and Applications</t>
  </si>
  <si>
    <t xml:space="preserve">10.1002/cta.70489</t>
  </si>
  <si>
    <t xml:space="preserve">There are currently 18.8 billion Internet of Things (IoT) devices online worldwide. The number is expected to rise to 41 billion in 2030 due to technological advances such as 5G. IoT devices are typically cheap, with constrained resources and very limited computing capabilities. This work provides an LWE-IoT framework to evaluate the performance of lightweight encryption (LWE) schemes in two widely used IoT communication protocols, MQTT and CoAP. For this purpose, a secure IoT network is established based on MQTT and CoAP protocols. Subsequently, it is used to evaluate five LWE schemes: ASCON, PRESENT, SIMON, SPECK, and ChaCha20. The evaluation is conducted by exchanging various payload sizes across the network, both for the MQTT and CoAP protocols. The edge nodes are implemented using an ESP32 microcontroller, while the MQTT broker is implemented on a desktop running Windows 10 operating system. The payload size ranges from 32 to 256 bytes and is divided into small, medium, and large payload categories. Moreover, a comprehensive benchmark is established to evaluate the quantitative analysis based on useful evaluation metrics such as flash storage, encryption/decryption time, latency, and RAM usage. The implementation results reveal up to (Formula presented.) improvement in encryption and decryption times for ASCON, whereas RAM usage in the case of ChaCha20 and SIMON is reduced by over (Formula presented.). Our implementation and associated libraries are open source for reproduction and further improvement. © 2026 John Wiley &amp; Sons Ltd.</t>
  </si>
  <si>
    <t xml:space="preserve">R482</t>
  </si>
  <si>
    <t xml:space="preserve">Low-Latency Hybrid Post-Quantum Secure Access Protocol for Resource-Constrained Terminals</t>
  </si>
  <si>
    <t xml:space="preserve">Zhong, Y.; Zhu, Y.</t>
  </si>
  <si>
    <t xml:space="preserve">2026 7th International Conference on Big Data and Artificial Intelligence and Software Engineering, ICBASE 2026</t>
  </si>
  <si>
    <t xml:space="preserve">10.1109/icbase70763.2026.11619478</t>
  </si>
  <si>
    <t xml:space="preserve">Resource-constrained terminals suffer noticeable access latency when post-quantum key establishment is placed on every connection. This paper presents a low-latency hybrid postquantum secure access protocol for terminals connected to a fixed trusted gateway. The full handshake combines ephemeral P-256 ECDH, ML-KEM-512, and a device pre-shared key through HKDF-SHA256, while the resumption path derives a ticketindexed PSK and HMAC-SHA256 binder from the previous hybrid root state. The paper defines an active adversary model, gives reduction-style arguments, and verifies the core logic in ProVerif. On an ESP32-S3/Linux-gateway testbed, 300-round measurements show 355.95 ms average full-handshake latency and 41.73 ms average resumption latency, with only 304 B online traffic during resumption. Confidence intervals, bootstrap P95 intervals, phase decomposition, and rank-sum tests show that the improvement is stable rather than a single-sample artifact. © 2026 IEEE.</t>
  </si>
  <si>
    <t xml:space="preserve">R483</t>
  </si>
  <si>
    <t xml:space="preserve">Entropy-Driven Inconsistencies in Shared Secrets with CRYSTALS-Kyber on Heterogeneous Platforms</t>
  </si>
  <si>
    <t xml:space="preserve">Mighri, M.A.; Benfarah, A.; Meddeb, A.</t>
  </si>
  <si>
    <t xml:space="preserve">Proceedings - IEEE Consumer Communications and Networking Conference, CCNC</t>
  </si>
  <si>
    <t xml:space="preserve">10.1109/ccnc65079.2026.11366429</t>
  </si>
  <si>
    <t xml:space="preserve">Post-Quantum Cryptography (PQC) is essential to secure future Internet-of-Things (IoT) systems against quantum adversaries. CRYSTALS-Kyber, recently standardized by NIST, provides efficient key encapsulation for constrained devices. This paper investigates Kyber's interoperability across heterogeneous IoT platforms - Raspberry Pi, ESP32, and x86-64 laptops - using the MQTT protocol. We demonstrate successful key exchanges among homogeneous platforms and mixed Raspberry Pi-laptop systems, but observe failures in ESP32 cross-platform exchanges. Analysis indicates that inconsistent shared secrets originate from entropy variations in platform-specific Random Number Generators (RNGs). Our results highlight the need for standardized entropy handling in PQC implementations for seamless IoT integration. © 2026 IEEE.</t>
  </si>
  <si>
    <t xml:space="preserve">R484</t>
  </si>
  <si>
    <t xml:space="preserve">Next Generation Lightweight Cryptography for Smart IoT Devices: : Implementation, Challenges and Applications</t>
  </si>
  <si>
    <t xml:space="preserve">Gunathilake, N.A.; Buchanan, W.J.; Asif, R.</t>
  </si>
  <si>
    <t xml:space="preserve">IEEE 5th World Forum on Internet of Things, WF-IoT 2019 - Conference Proceedings</t>
  </si>
  <si>
    <t xml:space="preserve">10.1109/wf-iot.2019.8767250</t>
  </si>
  <si>
    <t xml:space="preserve">High/ultra-high speed data connections are currently being developed, and by the year 2020, it is expected that the 5th generation networking (5GN) should be much smarter. It would provide great quality of service (QoS) due to low latency, less implementation cost and high efficiency in data processing. These networks could be either a point-To-point (P2P) communication link or a point-To-multipoint (P2M) communication link, which, P2M is also known as multi-casting that addresses multiple subscribers. The P2M systems usually have diverse nodes (also called as 'Things') according to services and levels of security required. These nodes need an uninterrupted network inter-connectivity as well as a cloud platform to manage data sharing and storage. However, the Internet of Things (IoT), with real-Time applications like in smart cities, wearable gadgets, medical, military, connected driver-less cars, etc., includes massive data processing and transmission. Nevertheless, integrated circuits (ICs) deployed in IoT based infrastructures have strong constraints in terms of size, cost, power consumption and security. Concerning the last aspect, the main challenges identified so far are resilience of the deployed infrastructure, confidentiality, integrity of exchanged data, user privacy and authenticity. Therefore, well secured and effective cryptographic algorithms are needed that cause small hardware footprints, i.e. Lightweight Cryptography (LWC), also with the provision of robustness, long range transfer of encrypted data and acceptable level of security.In this paper, the implementation, challenges and futuristic applications of LWC algorithms for smart IoT devices have been discussed, especially the performance of Long-Range Wide Area Network (LoRaWAN) which is an open standard that defines the communication protocol for Low-Power Wide Area Network (LPWAN) technology. © 2019 IEEE.</t>
  </si>
  <si>
    <t xml:space="preserve">R485</t>
  </si>
  <si>
    <t xml:space="preserve">Lightweight Parabola Chaotic Keyed Hash Using SRAM-PUF for IoT Authentication</t>
  </si>
  <si>
    <t xml:space="preserve">Jiteurtragool, N.; Samkunta, J.; Ketthong, P.</t>
  </si>
  <si>
    <t xml:space="preserve">10.14569/ijacsa.2025.0160273</t>
  </si>
  <si>
    <t xml:space="preserve">This paper introduces a lightweight and efficient keyed hash function tailored for resource-constrained Internet of Things (IoT) environments, leveraging the chaotic properties of the Parabola Chaotic Map. By combining the inherent unpredictability of chaotic systems with a streamlined cryptographic design, the proposed hash function ensures robust security and low computational overhead. The function is further strengthened by integrating it with a Physical Unclonable Function (PUF) based on SRAM initial values, which serves as a secure and tamper-resistant source of device-specific keys. Experimental validation on an ESP32 microcontroller demonstrates the function's high sensitivity to input variations, exceptional statistical randomness, and resistance to cryptographic attacks, including collisions and differential analysis. With a mean bit-change probability nearing the ideal 50% and 100% reliability in key generation under varying conditions, the system addresses critical IoT security challenges such as cloning, replay attacks, and tampering. This work contributes a novel solution that combines chaos theory and hardware-based security to advance secure, efficient, and scalable authentication mechanisms for IoT applications. © (2025), (Science and Information Organization). All Rights Reserved.</t>
  </si>
  <si>
    <t xml:space="preserve">R486</t>
  </si>
  <si>
    <t xml:space="preserve">Poster: Lightweight PUF-based Authentication and Key-exchange for Offline Smart Home IoT Devices</t>
  </si>
  <si>
    <t xml:space="preserve">ACM MobiCom 2025 - Proceedings of the 2025 the 31st Annual International Conference on Mobile Computing and Networking</t>
  </si>
  <si>
    <t xml:space="preserve">10.1145/3680207.3765699</t>
  </si>
  <si>
    <t xml:space="preserve">IoT-enabled smart home devices communicating through protocols like BLE or Zigbee, often constrained by limited computational resources and lack of direct internet connectivity, face significant authentication challenges. Traditional cryptographic methods such as Public-Key Infrastructure (PKI) or Identity-Based Encryption (IBE) impose heavy computational overheads, making them unsuitable for resource-constrained IoT environments. To address these issues, we propose a novel lightweight authentication protocol leveraging Physical Unclonable Functions (PUFs), utilizing smart-phones as intermediaries to facilitate secure communication with a trusted server. Our scheme avoids the overhead of maintaining large Challenge-Response Pair (CRP) databases and eliminates complex operations like Elliptic Curve cryptography and digital certificates (X.509). Experiments on an ESP32-based testbed demonstrate significant efficiency improvements over existing protocols, confirming the practicality of our lightweight approach for resource-constrained IoT environments. © 2025 Copyright held by the owner/author(s).</t>
  </si>
  <si>
    <t xml:space="preserve">R487</t>
  </si>
  <si>
    <t xml:space="preserve">Performance Evaluation and Implementation of PUF based Mutual Authentication on End to End IoT Device</t>
  </si>
  <si>
    <t xml:space="preserve">Karthik Varman, A.T.; Diniesh, V.C.</t>
  </si>
  <si>
    <t xml:space="preserve">Proceedings of 2025 International Conference on Signal Processing, Computation, Electronics, Power and Telecommunication, IConSCEPT 2025</t>
  </si>
  <si>
    <t xml:space="preserve">10.1109/iconscept66142.2025.11437126</t>
  </si>
  <si>
    <t xml:space="preserve">The Internet of Things (IoT) is quickly becoming a common technology that will improve people's lives by integrating into many parts of modern life and helping share information across platforms. Device Authentication and Key Exchange are significant challenges for the IoT, which is crucial for everyday living. Many IoT sensor devices are placed in unprotected environments, making them vulnerable to physical attacks and common security risks because they have limited resources and weak self-protection abilities. The large computing power needed for cryptographic processes, along with heavy message transmission during Authentication, makes existing methods like Cryptography and Encryption unsuitable for these resource-constrained devices. Physical Unclonable Function (PUF) offers a practical and cost-effective security solution compared to typically complex cryptosystems like Cryptography and Encryption. PUF provides a unique signature that cannot be copied and is sensitive to tampering, created from the variability of the manufacturing process. In this study, we comparing the existing PUF's architecture. And in that we are SRAM PUF which we implemented on ESP32 target board. In the second work, in order to testing CRPs against ML attacks we used pypuf framework module to evaluate PUF security along with the network performance metrics such as reliability, randomness and uniqueness. © 2025 IEEE.</t>
  </si>
  <si>
    <t xml:space="preserve">R488</t>
  </si>
  <si>
    <t xml:space="preserve">WebSocket Queuing Telemetry Transport (WQTT) for Publish-Subscribe Communication on Resource-Constrained Microcontrollers</t>
  </si>
  <si>
    <t xml:space="preserve">Han, Y.C.</t>
  </si>
  <si>
    <t xml:space="preserve">10.1109/jiot.2026.3702969</t>
  </si>
  <si>
    <t xml:space="preserve">Message queuing telemetry transport (MQTT) is widely used for publish-subscribe communication in the Internet of Things (IoT). However, MQTT requires a broker that is typically hosted on cloud servers or devices with greater computational resources, such as Raspberry Pi systems or computers. To address this limitation, WebSocket queuing telemetry transport (WQTT) is introduced in this article as a lightweight communication framework that leverages WebSockets while preserving the publish-subscribe messaging model. Unlike MQTT, WQTT enables resource-constrained microcontrollers such as the ESP32 to operate as a broker. WQTT implements application-layer retransmission for reliable message delivery, AES-GCM encryption for message confidentiality, integrity, and replay protection, and runtime message retention to ensure newly subscribed clients receive the latest topic messages. In addition, the protocol supports automatic client reconnection and topic resubscription following broker crashes or client disconnections, ensuring reliable recovery in unstable network conditions. This article presents the architecture of WQTT and makes the source code publicly available. Four test scenarios were conducted to evaluate WQTT's performance on ESP32 devices acting as both broker and clients: 1) publish load test; 2) unsubscription test; 3) broker crash recovery; and 4) client crash recovery. Results demonstrate 99.6% subscription accuracy and packet delivery ratio (PDR) across all scenarios, with average round-trip times (RTTs) ranging from 250 to 300 ms depending on network load.  © 2014 IEEE.</t>
  </si>
  <si>
    <t xml:space="preserve">R489</t>
  </si>
  <si>
    <t xml:space="preserve">Module-Lattice-Based Key-Encapsulation Mechanism Performance Measurements</t>
  </si>
  <si>
    <t xml:space="preserve">Nagy, N.; Alnemer, S.; Alshuhail, L.M.; Alobiad, H.; Almulla, T.; Alrumaihi, F.A.; Ghadra, N.; Nagy, M.</t>
  </si>
  <si>
    <t xml:space="preserve">Sci</t>
  </si>
  <si>
    <t xml:space="preserve">10.3390/sci7030091</t>
  </si>
  <si>
    <t xml:space="preserve">Key exchange mechanisms are foundational to secure communication, yet traditional methods face challenges from quantum computing. The Module-Lattice-Based Key-Encapsulation Mechanism (ML-KEM) is a post-quantum cryptographic key exchange protocol with unknown successful quantum vulnerabilities. This study evaluates the ML-KEM using experimental benchmarks. We implement the ML-KEM in Python for clarity and in C++ for performance, demonstrating the latter’s substantial performance improvements. The C++ implementation achieves microsecond-level execution times for key generation, encapsulation, and decapsulation. Python, while slower, provides a user-friendly introduction to the ML-KEM’s operation. Moreover, our Python benchmark confirmed that the ML-KEM consistently outperformed RSA in execution speed across all tested parameters. Beyond benchmarking, the ML-KEM is shown to handle the computational hardness of the Module Learning With Errors (MLWE) problem, ensuring resilience against quantum attacks, classical attacks, and Artificial Intelligence (AI)-based attacks, since the ML-KEM has no pattern that could be detected. To evaluate its practical feasibility on constrained devices, we also tested the C++ implementation on a Raspberry Pi 4B, representing IoT use cases. Additionally, we attempted to run integration and benchmark tests for the ML-KEM on microcontrollers such as the ESP32 DevKit, ESP32 Super Mini, ESP8266, and Raspberry Pi Pico, but these trials were unsuccessful due to memory constraints. The results showed that while the ML-KEM can operate effectively in such environments, only devices with sufficient resources and runtimes can support its computational demands. While resource-intensive, the ML-KEM offers scalable security across diverse domains such as IoT, cloud environments, and financial systems, making it a key solution for future cryptographic standards. © 2025 by the authors.</t>
  </si>
  <si>
    <t xml:space="preserve">R490</t>
  </si>
  <si>
    <t xml:space="preserve">Secure Boot for BLE IoT Devices: Experimental Evaluation on nRF52840 and Implications for EU RED and Cyber Resilience Act</t>
  </si>
  <si>
    <t xml:space="preserve">Bhatt, J.; Bhatt, K.; Donga, H.</t>
  </si>
  <si>
    <t xml:space="preserve">2026 IEEE World AI IoT Congress, AIIoT 2026</t>
  </si>
  <si>
    <t xml:space="preserve">10.1109/aiiot68874.2026.11569587</t>
  </si>
  <si>
    <t xml:space="preserve">Bluetooth Low Energy (BLE) Internet of Things (IoT) devices are widely deployed in consumer, industrial, and sensing applications where firmware integrity is critical to device security. Secure boot is a recognized foundational defense against firmware tampering, yet empirical performance data for resource-constrained BLE microcontroller-class devices remains limited. The EU Cyber Resilience Act (Regulation EU 2024/2847) and EU Radio Equipment Directive (EU RED) now require authenticated firmware update mechanisms for connected devices sold in Europe. Manufacturers of BLE products must document compliance evidence as part of conformity assessment. We evaluate MCUboot-based secure boot on the Nordic nRF52840 under the nRF Connect SDK to address this need. Three configurations are evaluated: an unsigned baseline (C1), RSA-2048 signature verification without encryption (C2), and RSA-2048 signature verification with AES-128 firmware encryption (C3). Flash consumption across configurations ranges from 54.05% to 98.61% of the 48 KB MCUboot partition, with bootloader execution times of 379 ms, 498 ms, and 570 ms respectively. All configurations were validated against firmware tampering, wrong-key, and downgrade attack scenarios. Results are mapped against CRA Annex I and EU RED Article 3(3) obligations, providing, to the authors’ knowledge, the first empirical overhead dataset and regulatory compliance guidance for MCUboot on a production BLE SoC. © 2026 IEEE.</t>
  </si>
  <si>
    <t xml:space="preserve">R491</t>
  </si>
  <si>
    <t xml:space="preserve">Securing the Internet of Things (IoT) Edge: A Lightweight Authentication Protocol for Resource-constrained Devices</t>
  </si>
  <si>
    <t xml:space="preserve">Abd, S.A.; Abdulkareem, M.B.; AL-Jumaili, A.H.A.; Hasan, M.K.; Gaikwad, S.</t>
  </si>
  <si>
    <t xml:space="preserve">International Journal of Intelligent Engineering and Systems</t>
  </si>
  <si>
    <t xml:space="preserve">10.22266/ijies2026.0930.50</t>
  </si>
  <si>
    <t xml:space="preserve">The rapid scalability of IoT has brought computing power to the edge of the network where low powered devices have a great deal of difficulty protecting themselves from cyber-attack due to their limited resources (memory, processing, power). Current authentication protocols (i.e., TLS/DTLS, IPSec) are certainly statistically secure but computationally too expensive for low powered devices and as such expose them to a variety of cyber-attacks (replay, impersonation, man-in-the-middle, etc.). This paper introduces a new mutual authentication protocol called LEAP (Lightweight Edge Authentication Protocol) specifically developed for low powered edge devices in the IoT space. LEAP utilizes two message exchanges between devices using only lightweight cryptographic primitives (i.e., SHA-256 hash and simple XOR operations) to arrive at a mutual authentication and fresh session key. The protocol was developed using Python on Raspberry Pi Gateways and ESP32 Microcontrollers, with an extensive experimental performance evaluation as well as validating network resilience using the CIC IoT Dataset 2023. LEAP has a mean authentication time of 12.4ms, an energy consumption of 28.4mJ, and a memory footprint of only 11.2KB flash and 4.8KB RAM; therefore, LEAP provides a 28-fold speed improvement over the optimized ECC protocol of Sciancalepore et al. (2016) and a 33-fold improvement over the ECC protocol of Wang et al. (2018), with corresponding energy reductions of 26-fold and 31-fold respectively. Additionally, ProVerif checked that LEAP is secure against replay attacks, man-in-the-middle attacks and impersonation attacks under the Dolev-Yao adversary model. By providing verified resistance to replay, man-in-the-middle, and impersonation attacks under the Dolev-Yao adversary model, together with excellent efficiency, this makes LEAP a practical and viable method of authenticating resource constrained devices at the edge of the IoT, which is a critical gap in today's security landscape. This article is licensed under a Creative Commons Attribution-ShareAlike 4.0 International License. License details: https://creativecommons.org/licenses/by-sa/4.0/</t>
  </si>
  <si>
    <t xml:space="preserve">R492</t>
  </si>
  <si>
    <t xml:space="preserve">8th International Conference on Electronics, Communications and Control Engineering, ICECC 2025</t>
  </si>
  <si>
    <t xml:space="preserve">The proceedings contain 34 papers. The special focus in this conference is on Electronics, Communications and Control Engineering. The topics include: Design and Synthesis of Capacitance Multiplier Using LT1228s and a Grounded Capacitor; a Reliability and Performance Study of Neural Networks on Resource-Constrained Platforms; binary Splitting Test Generation for a Pattern Matching Accelerator with In-Memory-Processing Architecture; 650 V Multiple Floating P Oxide-Trenches High-Conductivity Insulated Gate Bipolar Transistor Design; A Low-Power and Small-Area Squarer for Wearable ECG Devices Utilizing Pan-Tompkins Algorithm; reliability Calculation for Paper Robots, Case Study: Assistive Robot with Human; analysis and Experiment of a Three-Phase Hybrid Fibonacci-Type Marx Generator; low-Cost Smartphone-Controlled Exercise Machine for Arm and Leg Muscles; assessing the Impact of Oil Type on Transformer Performance and Mass; a New Design Methodology for Aircraft Data Logger Adopting Pulse-Mode Circuit Approach; impact of Altitude on the Design and Performance of Dry-Type Transformers; ioT System for Access and Control with Integrated Lighting: Case Study and Reliability; optimizing Power Efficiency in Cloud Environments for Carrier-Grade Applications; a Review of Machine Learning-Based Security Algorithms for the Internet of Things; Potential of TinyML and Federated Reinforcement Learning-Based Trajectory Optimization in Space-Air-Ground Integrated Network; water Quality Monitoring and Control System for Tilapia Fingerling Rearing; Implementation of the 5G Software Defined Radio via FPGA; Reliability of IoT Ambient Lighting Based on NodeMCU and RGB Color Sensors; enhanced Lightweight Cryptography Security Algorithm for the Internet of Things; application of LoRa Technology in a Hydroponic System to Improve Lettuce Cultivation in Urban Areas.</t>
  </si>
  <si>
    <t xml:space="preserve">R493</t>
  </si>
  <si>
    <t xml:space="preserve">Performance Evaluation of PRESENT and Salsa20 Hybrid Cryptography for Key-Wrapping in Resource-Constrained IoT Devices</t>
  </si>
  <si>
    <t xml:space="preserve">Dja'Far Karzein Hafidz Yuntanozra, M.; Setiawan, H.; Hatmojo, S.Y.; Aulia, M.Z.P.; Syahral, M.</t>
  </si>
  <si>
    <t xml:space="preserve">Proceedings - 2026 5th ICERA 2026: The International Conference on Electronics Representation and Algorithm</t>
  </si>
  <si>
    <t xml:space="preserve">10.1109/icera72709.2026.11666653</t>
  </si>
  <si>
    <t xml:space="preserve">Lightweight cryptographic algorithms are essential for securing communication in resource-constrained environments such as Internet of Things (IoT) devices, RFID tags, and embedded systems. This paper proposes a deterministic hybrid key-wrapping scheme that integrates the PRESENT ultra-lightweight block cipher and the Salsa20 stream cipher to provide layered message protection. In the proposed scheme, PRESENT encrypts the session key prior to its use in Salsa20 encryption, adding a key-protection layer without introducing the computational overhead of the chaotic systems used in prior PRESENT and Salsa20 hybrid designs. The scheme is implemented in portable C and empirically evaluated on physical IoT development boards spanning three architecture classes: an 8-bit ATmega328P (16 MHz), a 32-bit ARM Cortex-M4 (STM32F411, 96 MHz), and a 32-bit Xtensa ESP32 (240 MHz). Performance, memory footprint, and per-byte cost are reported as measured values rather than analytical projections. The measured results reveal that the PRESENT key-wrapping cost is effectively constant per session (approximately 68.7 ms on the ATmega328P, 0.87 ms on the STM32F411, and 0.65 ms on the ESP32), so its relative overhead depends strongly on payload size, dominating short-message workloads on the 8-bit device while becoming negligible (below 3%) for larger payloads on the 32-bit devices. A key-management flow validation on a virtualized multi-node testbed confirms correct end-to-end wrap, transmit, unwrap, and decrypt operation across five concurrent nodes. The proposed approach offers a simpler and more deterministic alternative to chaos-based hybrid designs while remaining feasible across a wide range of IoT hardware classes. © 2026 IEEE.</t>
  </si>
  <si>
    <t xml:space="preserve">R494</t>
  </si>
  <si>
    <t xml:space="preserve">Quantum Resilient Lightweight Encryption Algorithm for Resource Constrained Environments Using Modular Hybrid Cryptography</t>
  </si>
  <si>
    <t xml:space="preserve">Pawar, P.; Kamasani, H.; Kamasani, A.; Sharma, N.</t>
  </si>
  <si>
    <t xml:space="preserve">Smart Innovation, Systems and Technologies</t>
  </si>
  <si>
    <t xml:space="preserve">10.1007/978-3-032-22114-8_41</t>
  </si>
  <si>
    <t xml:space="preserve">This paper presents a novel lightweight encryption algorithm tailored for resource-constrained environments such as IoT and edge computing devices, with strong resilience against quantum computing threats. The proposed design integrates a hybrid cryptographic framework combining a post-quantum lattice-based key derivation mechanism with an adaptive symmetric encryption engine utilizing dynamic substitution-permutation logic. Experimental evaluations conducted on devices such as Raspberry Pi 4 and ESP32 demonstrate an encryption time of 1.82 s for 1 MB files—offering a 37% speed improvement over RSA-2048, with memory usage 60% lower. The system achieves a near-perfect Shannon entropy score of 7.98, confirming ciphertext unpredictability. In addition to benchmark comparisons with AES-256 and RSA, the analysis includes resilience against side-channel, fault-injection, and bit-flipping attacks. The source code has been made publicly available to support reproducibility and external validation. Overall, the proposed algorithm achieves a practical balance between cryptographic strength, quantum resistance, and efficiency, offering a forward-compatible solution for embedded and distributed systems. Results of all performance tests can be seen in Table 3. © The Author(s), under exclusive license to Springer Nature Switzerland AG 2026.</t>
  </si>
  <si>
    <t xml:space="preserve">R495</t>
  </si>
  <si>
    <t xml:space="preserve">Short-Lifecycle Authorization Code Generation and Distribution Protocol for Power Systems</t>
  </si>
  <si>
    <t xml:space="preserve">Lu, D.; Gu, Z.; Fang, H.</t>
  </si>
  <si>
    <t xml:space="preserve">2025 2nd International Conference on Intelligent Computing and Data Mining, ICDM 2025</t>
  </si>
  <si>
    <t xml:space="preserve">10.1109/icdm68174.2025.11309679</t>
  </si>
  <si>
    <t xml:space="preserve">With the accelerated integration of information technology and intelligence into power systems, security concerns have become increasingly prominent, especially when faced with complex power operations and ever-evolving security threats. This paper proposes a short-lifecycle authorization code generation and distribution protocol based on Physical Unclonable Functions (PUF) and quantum-resistant signature technology to address the challenges of authorization and authentication in power systems. The protocol combines hardware physical characteristics, short-lifecycle authorization codes, and quantum-resistant signature techniques to enhance both security and efficiency. A unique key seed is generated through the SRAM PUF of the ESP32 terminal, then a dynamic authorization code is created using the Keccak-256 algorithm, with the CRYSTALS-Dilithium signature algorithm further strengthening quantum resistance. Experimental results show that the protocol offers robust security and performance in power systems. For example, during the three-party interaction process of authorization code generation and verification, the system achieves an average response delay of 125 ms even under high concurrency, effectively preventing replay attacks, forgery, and man-in-the-middle attacks. The protocol consumes significantly fewer resources than traditional RSA-2048 schemes, making it especially suitable for resource-constrained power terminal devices. In summary, this protocol not only meets the real-time and security requirements of power systems but also offers high resource efficiency, providing an effective solution for high-security scenarios like smart grids. © 2025 IEEE.</t>
  </si>
  <si>
    <t xml:space="preserve">R496</t>
  </si>
  <si>
    <t xml:space="preserve">Chaotic Compressed Sensing for Secure Image Transmission in LoRa IoT Systems</t>
  </si>
  <si>
    <t xml:space="preserve">Wannaboon, C.; Ridzwan, S.A.B.S.; Fong-In, S.</t>
  </si>
  <si>
    <t xml:space="preserve">10.14569/ijacsa.2025.0160989</t>
  </si>
  <si>
    <t xml:space="preserve">Transmitting image data reliably over long distances with low cost and minimal storage consumption is critical for LoRa-enabled IoT devices. Conventional methods often rely on high-power consumption or computationally intensive hardware, rendering them unsuitable for cost-sensitive and resource-limited IoT deployments. This paper presents a hybrid compressed sensing approach designed for efficient image transmission in LoRa-based IoT systems. The proposed method utilizes a chaotic map-based sensing matrix to enhance randomness and incoherence in the sampling process, which also serves as an encryption key to secure the transmitted data. While wavelet transform is combined with Total Variation (TV) minimization to accurately recover high-quality images from the sparse measurements on the reconstruction side. The system is implemented on low-power development boards, with the ESP32-CAM used for image capture and initial compression, and the CubeCell-AB01 handling LoRa-based wireless transmission. Experimental results demonstrate significant reductions in data size and transmission cost, while preserving image fidelity and enhancing data security, making the proposed method well-suited for resource-constrained IoT applications. © (2025), (Science and Information Organization). All rights reserved.</t>
  </si>
  <si>
    <t xml:space="preserve">R497</t>
  </si>
  <si>
    <t xml:space="preserve">A Lightweight and Privacy-Preserving Biometric Authentication Framework for Sustainable IoMT Systems</t>
  </si>
  <si>
    <t xml:space="preserve">Lashari, S.A.; Al-Shareeda, M.A.; Almaiah, M.A.; Shehab, R.</t>
  </si>
  <si>
    <t xml:space="preserve">Journal of Computer Science</t>
  </si>
  <si>
    <t xml:space="preserve">10.3844/jcssp.2026.185.201</t>
  </si>
  <si>
    <t xml:space="preserve">Biometric authentication provides secure, identity-bound access control for the Internet of Medical Things (IoMT), crucial for wearable, implantable, and ambient devices. However, the inherent immutability and sensitivity of biometric data pose severe privacy risks in the event of a breach. Furthermore, conventional public-key cryptography is often too computationally intensive for resource-constrained IoMT hardware. To address these challenges, this paper proposes a lightweight, privacypreserving authentication framework for sustainable IoMT. Our system integrates cancellable biometrics with fuzzy extractors to generate secure, revocable, and non-invertible templates. We replace elliptic curve cryptography with lightweight symmetric primitives, TinyAES and SPECK, to minimize overhead. The mutual authentication protocol is formally verified using BAN logic, ensuring session security and freshness. Implemented on commercial IoMT devices (ESP32, Raspberry Pi), the framework demonstrates a 3.4× reduction in execution time, 57% lower memory usage, and 66% lower energy consumption compared to ECC-based schemes. In summary, this work presents an efficient, deployable architecture for viable and sustainable biometric authentication in resource-limited e-healthcare. © 2026 Saima Anwar Lashari, Mahmood A. Al-Shareeda, Mohammed Amin Almaiah and Rami Shehab. This openaccess article is distributed under a Creative Commons Attribution (CC -BY) 4.0 license.</t>
  </si>
  <si>
    <t xml:space="preserve">R498</t>
  </si>
  <si>
    <t xml:space="preserve">PQ-MQTT: A Hybrid Post-Quantum Secure Communication Protocol for MQTT-Based IoT Networks</t>
  </si>
  <si>
    <t xml:space="preserve">Saleem, S.; Umran, S.M.; Abduljabbar, Z.A.; Perazzo, P.; Saleem, U.</t>
  </si>
  <si>
    <t xml:space="preserve">2026 IEEE 2nd Secure and Trustworthy Cyberinfrastructure for IoT and Microelectronics, SATC 2026 - Conference Proceedings</t>
  </si>
  <si>
    <t xml:space="preserve">10.1109/satc69565.2026.11542264</t>
  </si>
  <si>
    <t xml:space="preserve">The proliferation of Internet of Things (IoT) devices that use the Message Queuing Telemetry Transport (MQTT) protocol poses significant security challenges in the emerging quantum computing era. Current Transport Layer Security (TLS) implementations rely on classical cryptographic algorithms vulnerable to Shor s algorithm. This paper proposes PQ-MQTT, a hybrid post-quantum secure communication protocol that integrates ML-KEM-768 with X25519 for key encapsulation and a lightweight session-key derivation mechanism optimized for resource-constrained IoT publishers. We present a formal security analysis under the Quantum Random Oracle Model (QROM), demonstrating resilience against store-now-decryptlater attacks. Experimental evaluation on the Raspberry Pi 4, ESP32, and Arduino Nano 33 platforms shows that PQ-MQTT achieves handshake latencies of 127.3ms, 412.7ms, and 1,847.2ms, respectively, with 18.2KB of additional memory overhead. A comparative analysis of pure post-quantum and classical TLS implementations shows energy reductions of 23.5%-40.5% relative to pure PQC, achieved through our hybrid optimization approach, while maintaining 94.2% throughput efficiency.. © 2026 IEEE.</t>
  </si>
  <si>
    <t xml:space="preserve">R499</t>
  </si>
  <si>
    <t xml:space="preserve">BEdX25519: A lightweight authenticated key exchange protocol for secure IoT device-to-device (D2D) communication using blockchain and elliptic curve cryptography</t>
  </si>
  <si>
    <t xml:space="preserve">Hasan, R.; Amin, M.A.; Abdullah, M.I.; Ali, A.B.M.S.</t>
  </si>
  <si>
    <t xml:space="preserve">10.1016/j.jisa.2026.104539</t>
  </si>
  <si>
    <t xml:space="preserve">The Internet of Things (IoT) connects everyday physical devices to the Internet to collect and exchange information anytime, from anywhere. Its adoption is increasing across domains such as healthcare, agriculture, and transportation. However, as IoT systems increasingly handle sensitive data, ensuring secure communication has become a critical challenge, particularly in device-to-device (D2D) communication, where devices interact directly without intermediaries. Traditional centralized models introduce single points of failure, making communication vulnerable if the central authority becomes unavailable. Moreover, mutual authentication in D2D communication is challenging because IoT devices often lack the resources to store and process credentials for all trusted devices. Existing solutions frequently rely on certificate-based infrastructure or specialized hardware (e.g., Physically Unclonable Functions), which impedes large-scale adoption. To address these challenges, this paper proposes BEdX25519, a lightweight blockchain-based authenticated key-exchange protocol for secure IoT D2D communication without any intermediaries. The protocol stores device identifiers and public keys on a decentralized and immutable blockchain ledger, preventing unauthorized tampering. Devices retrieve public keys directly from the blockchain and establish secure session keys using elliptic curve cryptography. The protocol is implemented on ESP32 devices to evaluate feasibility and performance. Experimental evaluations show that BEdX25519 is functional and efficient, with low execution time and memory usage on resource-constrained devices. Its security properties are validated through informal analysis and formal verification using the Scyther tool, and real-world attack simulations demonstrate resistance to replay, impersonation, and man-in-the-middle attacks. Additionally, blockchain transaction costs are evaluated on both Ethereum and Polygon networks, confirming cost-effectiveness. Finally, a large-scale deployment roadmap demonstrates that the protocol can support thousands of IoT devices without additional resource overhead, highlighting its practicality and scalability. © 2026 Elsevier Ltd.</t>
  </si>
  <si>
    <t xml:space="preserve">R500</t>
  </si>
  <si>
    <t xml:space="preserve">Lightweight image encryption using integer reversible discrete Dual-Hahn transform on embedded systems</t>
  </si>
  <si>
    <t xml:space="preserve">Yamni, M.; Daoui, A.; El-Kasri, C.; Almousa, M.; AlQahtani, A.A.S.; Abd El-Latif, A.A.</t>
  </si>
  <si>
    <t xml:space="preserve">Engineering Science and Technology, an International Journal</t>
  </si>
  <si>
    <t xml:space="preserve">10.1016/j.jestch.2025.102108</t>
  </si>
  <si>
    <t xml:space="preserve">The security and performance of a cryptographic algorithm can be reduced when implemented on an embedded system, such as a 32-bit microcontroller, due to the limitation of hardware resources, such as computational precision, processing power, and memory. This paper introduces the Integer Reversible Discrete Dual-Hahn Transform (IRDDHT), a novel integer-based transform designed for secure image encryption in resource-constrained embedded systems. The IRDDHT ensures lossless encryption by eliminating rounding errors common in floating-point transforms, maintaining image fidelity during encryption and decryption. We then propose a lightweight encryption algorithm based on IRDDHT, which introduces implicit diffusion and relies on parameter sensitivity to enhance security. When implemented on the ESP32 microcontroller, the proposed algorithm occupies less than 4 % of SRAM and 8.5 % of Flash memory, achieving a throughput of 170.67 kbps at the device's maximum clock frequency. It is energy-efficient, capable of encrypting up to 129,025 grayscale images of size 256 × 256 pixels on a standard 3300 mAh battery. The algorithm ensures perfect decryption with no loss of image fidelity and demonstrates strong resistance to statistical attacks with near-ideal correlation values, as well as brute-force attacks with a large key space of 2199. These results indicate that the IRDDHT-based encryption method is an effective solution for secure image encryption in embedded systems. © 2025 The Authors</t>
  </si>
  <si>
    <t xml:space="preserve">R501</t>
  </si>
  <si>
    <t xml:space="preserve">Secure Communication Protocol for Arduino-based IoT Using Lightweight Cryptography</t>
  </si>
  <si>
    <t xml:space="preserve">Kurniawan, R.A.Z.; Wahjuni, S.; Neyman, S.N.</t>
  </si>
  <si>
    <t xml:space="preserve">International Journal on Advanced Science, Engineering and Information Technology</t>
  </si>
  <si>
    <t xml:space="preserve">10.18517/ijaseit.12.2.8601</t>
  </si>
  <si>
    <t xml:space="preserve">We witness massive implementations of the Internet of Things (IoT) in smart homes, smart buildings, smart vehicles, smart wearables as well as Industry 4.0 initiatives. Along with the massive adoption, IoT security has become more important and crucial in this case. Arduino, as IoT hardware platform, also requires enhancements on its security to ensure that data it transmits and receives is secured and has not been tampered in any way. Transmitting of IoT data and telecommand in plaintext is not secure. Securing transmission using traditional block cipher is computationally intensive for embedded-systems with low memory and computing power like Arduino. This research proposes a novel lightweight security communication protocol that is lightweight enough to run on the Arduino platform. The proposed protocol shall be utilizing a lightweight key agreement scheme, the SPECK lightweight block cipher, and BLAKE2s hash function. This protocol is designed to support telemetry and telecommand by using publisher-subscriber, which also is aimed to be extensible but straightforward for future enhancements. This research shows that a secure IoT communication protocol can be designed and implemented on Arduino devices and another IoT platform running Arduino core such as the ESP32. The performance evaluation of this protocol in Arduino Mega shows that the INIT phase's average execution time is 26.83 milliseconds. The key agreement is 13.50 milliseconds, and the encryption-decryption of telemetry and telecommand messages requires 25 milliseconds execution time. The protocol performance evaluation in ESP32 has an average execution time for INIT phase 44.63 milliseconds. The key agreement phase, 13.90 milliseconds, and the encryption and decryption of telemetry and telecommand messages requires an execution time of 17.10 milliseconds. © 2022. All Rights Reserved.</t>
  </si>
  <si>
    <t xml:space="preserve">R502</t>
  </si>
  <si>
    <t xml:space="preserve">Performance Evaluation and Decision Framework for Lightweight Cryptography in Resource-Constrained IoT Environments</t>
  </si>
  <si>
    <t xml:space="preserve">Rajak, S.K.; Kumari, R.; Kumar, S.</t>
  </si>
  <si>
    <t xml:space="preserve">10.1109/giest66547.2025.11387598</t>
  </si>
  <si>
    <t xml:space="preserve">The rapid expansion of Internet of Things (IoT) applications across domains such as healthcare, smart cities, industry, and agriculture has intensified the need for secure yet lightweight cryptographic mechanisms. Conventional algorithms are often unsuitable for resource-constrained devices due to high computational, memory, and energy demands. This study presents a systematic review and performance evaluation of 39 lightweight cryptographic algorithms (LWC) implemented on the ESP32 platform. Key decision criteria - including energy efficiency, latency, memory footprint, and implementation cost - are analyzed. A multi-criteria decision-making framework using the TOPSIS method ranks algorithms based on performance tradeoffs. Results identify XTEA, SPECK, and TEA as top-performing candidates. The proposed framework serves as a practical guide for selecting efficient and secure LWC solutions in constrained IoT environments. © 2025 IEEE.</t>
  </si>
  <si>
    <t xml:space="preserve">R503</t>
  </si>
  <si>
    <t xml:space="preserve">XenoCipher: A Secure Key Exchange and Encryption Pipeline for Resource-Constrained Devices</t>
  </si>
  <si>
    <t xml:space="preserve">Ranjan, A.; Vivek, S.A.; Subramanyam, C.V.; Talekar, S.; Kadwadkar, S.S.</t>
  </si>
  <si>
    <t xml:space="preserve">Proceedings - International Conference on Air Defense and Security, ICADS 2026</t>
  </si>
  <si>
    <t xml:space="preserve">10.1109/icads69450.2026.11545478</t>
  </si>
  <si>
    <t xml:space="preserve">In the current modern world due to the rise of Internet of Things there is an increase in the use of connected devices, such as smartwatches, smart thermometer, constantly sense and collect telemetry data from their environment and may send the collected data to a remote server located in the cloud for analytical processing. The data being sent has to be protected using an suitable cryptographic encryption/decryption system. However the challenges faced in the current systems are; traditional encryption algorithms like AES, RSA, ECC are not suitable for encrypting data in these devices because the devices have limited computational resources and these algorithms were designed for powerful systems such as pc, laptop, smartphones etc. Also current literature mainly focuses on fixed mode encryption for IoT, there is no runtime adaptability introduced in generating ciphers, most of the lightweight ciphers have single layered and static pipeline which is vulnerable to cyber attacks. Therefore in our quest to find solutions for these problems Xenocipher was developed. Xenocipher is a secure, lightweight, multilayered cryptographic system that operates at bit/stream level. It combines three lightweight symmetric algorithms in a layered fashion to generate strong ciphers, they are LFSR(Linear Feedback shift register) for pseudorandom stream generation, Chaotic map for entropy and non linearity and bit level dynamic transposition using grid for diffusion. Along with this core pipeline the system also provides an adaptive switching feature called”Zero Trust Mode” which aids in detecting threat pattern and dynamically switches to one of the five encryption recipes based on the live heuristic feedback. The system was developed and tested on a ESP32 microcontroller and C++ server at local. It achieved a median encryption time of 52.5 ms for every 106 byte packet. The ram used during the encryption process was 12KB out of 512KB. Entire module occupied 180KB of the flash and around 22% of the cpu load. © 2026 IEEE.</t>
  </si>
  <si>
    <t xml:space="preserve">R504</t>
  </si>
  <si>
    <t xml:space="preserve">Performance and Security Evaluation of Lightweight Encryption Schemes for IoT Machine-to-Machine Communication</t>
  </si>
  <si>
    <t xml:space="preserve">Azrika, A.Z.A.; Karna, N.; Shin, S.Y.</t>
  </si>
  <si>
    <t xml:space="preserve">International Conference on Information and Communications Technology, ICOIACT</t>
  </si>
  <si>
    <t xml:space="preserve">10.1109/icoiact67584.2025.11344930</t>
  </si>
  <si>
    <t xml:space="preserve">The Internet of Things (IoT) requires lightweight cryptographic schemes that balance data security and resource efficiency. This study experimentally evaluates three modern lightweight encryption algorithms, namely ASCON, ACORN, and ChaChaPoly, implemented on ESP32 microcontrollers via UART communication. Each algorithm was tested over 31 runs to obtain statistically reliable results, including standard deviation (SD) and 95% confidence intervals (CI). The evaluation focused on processing speed, memory usage, CPU load, Bit Error Rate (BER), and diffusion percentage. ASCON achieved the fastest performance with mean encryption and decryption times of 53.26 μs and 54.58 μs, respectively, and the lowest CPU utilization at 0.47% during encryption and 1.97% during decryption. ACORN showed moderate latency of 63.00 μs and 64.00 μs but achieved the highest diffusion rate of 54.17 %, indicating stronger resistance to differential and linear attacks. ChaChaPoly exhibited balanced performance with encryption and decryption times of 66.03 μs and 69.33 μs, and a 0.00% BER, supported by integrated Poly1305 authentication. All algorithms maintained total memory usage between 582 kB and 586 kB, confirming efficient implementation within the ESP32 520 kB RAM constraint. These findings demonstrate that ASCON is optimal for low-latency, energy-efficient applications, ACORN is preferable for high-diffusion secure systems, and ChaChaPoly is suitable for general-purpose authenticated ToT communication. © 2025 IEEE.</t>
  </si>
  <si>
    <t xml:space="preserve">R505</t>
  </si>
  <si>
    <t xml:space="preserve">Enhanced Security of Bidirectional Communication in IoT-Driven Utility Networks Using Sertainty UXP and LoRaWAN</t>
  </si>
  <si>
    <t xml:space="preserve">Simin, Z.A.; Aslan, S.; Carvalho, M.M.; Valles, D.</t>
  </si>
  <si>
    <t xml:space="preserve">10.3390/s26061752</t>
  </si>
  <si>
    <t xml:space="preserve">LoRaWAN holds immense potential in smart applications for its low-power, long-range communication capabilities and in-built AES-128 encryption for end-to-end security. However, prior research has identified critical security vulnerabilities, most notably its use of AES-128 encryption in ECB mode, which lacks semantic security. Sertainty UXP (Unbreakable Exchange Protocol) technology enhances AES by embedding intelligence directly into the data. Sertainty Corporation’s UXP encryption employs AES-256-GCM, which offers authenticated encryption with integrated access control and policy enforcement at the data level, making it a promising candidate for securing sensitive IoT data. The objective of this study is to evaluate whether Sertainty UXP can operate effectively within the strict payload and performance constraints of LoRaWAN. To benchmark performance and overhead, several encryption algorithms, including AES-256-GCM, ASCON-128, SPECK, and XTEA, were implemented for comparison. For experimentation, smart meter data is encrypted with these algorithms and transmitted over LoRaWAN using the LoRa-E5 development board by Seeed Studio. The system’s performance is evaluated based on latency, payload size, and message integrity. Payloads are strategically split into LoRaWAN-compatible chunks and reassembled upon reception to meet network constraints. The results show that integrating UXP encryption within LoRaWAN is technically feasible, though it introduces additional overhead and latency. Despite this, the ability to embed robust encryption and controls directly within the data object offers significant potential to enhance end-to-end IoT security. The research concludes that Sertainty UXP can offer a viable and forward-looking solution for securing resource-constrained networks, provided implementation strategies carefully manage the trade-offs between security strength and transmission efficiency. © 2026 by the authors.</t>
  </si>
  <si>
    <t xml:space="preserve">R506</t>
  </si>
  <si>
    <t xml:space="preserve">Benchmarking of Post-Quantum Digital Signature Schemes on ESP32 and Raspberry Pi Platforms</t>
  </si>
  <si>
    <t xml:space="preserve">Ahmed, F.B.; Labrecque, C.; Meddeb, A.</t>
  </si>
  <si>
    <t xml:space="preserve">Canadian Conference on Electrical and Computer Engineering</t>
  </si>
  <si>
    <t xml:space="preserve">10.1109/ccece68150.2026.11610010</t>
  </si>
  <si>
    <t xml:space="preserve">The rapid advancement of quantum computing poses a significant threat to the security of classical public-key cryptographic systems, driving the need for the adoption of post-quantum cryptographic (PQC) solutions. Digital signatures are a fundamental security primitive in Internet of Things (IoT) systems, providing authentication, data integrity, and secure firmware update mechanisms. However, deploying PQC digital signature schemes on resource-constrained IoT devices remains a major challenge due to their limited computational power and memory capacity. This paper presents an experimental benchmarking study of post-quantum digital signature schemes on two widely used embedded platforms: the ESP32 and the Raspberry Pi 4. The evaluation is conducted under realistic operating conditions using Universal Asynchronous Receiver/Transmitter (UART) and Message Queuing Telemetry Transport (MQTT) communication protocols, with all measurements obtained from real hardware implementations. Our results reveal critical trade-offs among execution time, memory footprint, and security level, and offer practical insights to guide the selection of suitable PQC digital signature schemes for deployment in constrained IoT environments. © 2026 IEEE.</t>
  </si>
  <si>
    <t xml:space="preserve">R507</t>
  </si>
  <si>
    <t xml:space="preserve">SRAM PUF-based logic locking framework for IoT authentication and IP protection</t>
  </si>
  <si>
    <t xml:space="preserve">Gupta, C.; Kumar, G.; Gurve, M.K.; Varshney, G.; Ahlawat, S.</t>
  </si>
  <si>
    <t xml:space="preserve">Computers and Electrical Engineering</t>
  </si>
  <si>
    <t xml:space="preserve">10.1016/j.compeleceng.2026.111143</t>
  </si>
  <si>
    <t xml:space="preserve">Internet of Things (IoT) deployments comprise large numbers of resource-constrained devices operating in physically exposed environments, where secure key storage and long-term secret management remain challenging. Existing authentication schemes often incur high computational and communication overheads, while conventional logic locking techniques primarily focus on intellectual property protection without addressing device authentication or secure communication. This work presents a unified framework that integrates SRAM Physical Unclonable Function (PUF)-based logic locking to enable lightweight authentication, key establishment and IP protection. The proposed authentication protocol relies exclusively on hash and masking operations, avoiding expensive cryptographic operations, and key storage. Formal security verification using the Verifpal tool and ROR-Oracle model confirms resistance against replay, impersonation, and man-in-the-middle attacks, while guaranteeing authentication and confidentiality properties. Compared to state-of-the-art schemes, the proposed protocol achieves the lowest computational and communication overhead, completing authentication with a total transmission cost of 1096 bits, while also minimizing computation overhead by relying on a reduced set of lightweight cryptographic operations. Analysis of ten ESP32 devices implementing SRAM-PUFs shows resilience against modeling attacks using classical and deep learning models, including Logistic Regression, SVM, Random Forest, kNN, MLP, LSTM, and Transformer architectures. Moreover, experimental results across ten ESP32 devices show strong intra-device reliability exceeding 96 percent and near-ideal inter-device uniqueness, validating the applicability of the proposed solution in real-world IoT environments. © 2026 Elsevier Ltd.</t>
  </si>
  <si>
    <t xml:space="preserve">R508</t>
  </si>
  <si>
    <t xml:space="preserve">Secure Edge Wireless Communication with SPECK Lightweight Cryptography</t>
  </si>
  <si>
    <t xml:space="preserve">Sudha, K.L.; Holla, N.K.; Vidyashree, K.N.; Manasa, R.; Chaitra, A.; Tagare, T.S.</t>
  </si>
  <si>
    <t xml:space="preserve">The need for secure, low-latency, and energy-efficient communication modules are the main requirements of Internet of Things (IoT), and made wireless sensor networks (WSN), and edge intelligence systems to be part of the system. This paper presents the design and implementation of a SPECK-based wireless data transmission and receiving module using ESP32. The proposed system incorporates the lightweight SPECK block cipher for secure data encryption with an ESP32 based transmitter-receiver architecture using Wi-Fi-enabled socket communication. Experimental validation demonstrates that the proposed design achieves secure end-to-end communication with low processing delay, making it suitable for industrial IoT, smart agriculture, remote monitoring, and military edge communication systems. © Grenze Scientific Society, 2026.</t>
  </si>
  <si>
    <t xml:space="preserve">R509</t>
  </si>
  <si>
    <t xml:space="preserve">Analysis of Selected Cryptographic Algorithms for Data Transmission in Airborne Networks</t>
  </si>
  <si>
    <t xml:space="preserve">Balinski, S.; Sniatala, P.; Sobieraj, M.; Grocholewska-Czurylo, A.; Xie, J.; Ren, S.</t>
  </si>
  <si>
    <t xml:space="preserve">Mixed Design of Integrated Circuits and System, MIXDES 2025</t>
  </si>
  <si>
    <t xml:space="preserve">10.23919/mixdes66264.2025.11092059</t>
  </si>
  <si>
    <t xml:space="preserve">The article presents an analysis of selected cryptographic algorithms for their application in data transmission in airborne networks, as well as other devices that use microcontrollers, such as Internet of Things (IoT) devices. Different types of microcontrollers used in Unmanned Aerial Vehicle (UAV) platforms are presented. The ESP32 microcontroller is used for hardware testing. A selected set of lightweight cryptography algorithms is implemented in the microcontroller to test their computational efficiency. The tests for AEAD algorithms include: ChaChaPoly, ASCON-128, TinyJAMBU, ISAP, and PHOTON-Beetle, and for Hashing algorithms: BLAKE2s, ASCON-HASH, and PHOTON-Beetle-HASH.  © 2025 Lodz University of Technology.</t>
  </si>
  <si>
    <t xml:space="preserve">IDENTIFICATION</t>
  </si>
  <si>
    <t xml:space="preserve">Records from Scopus S1</t>
  </si>
  <si>
    <t xml:space="preserve">Records from Scopus S2</t>
  </si>
  <si>
    <t xml:space="preserve">Records from Scopus S3b</t>
  </si>
  <si>
    <t xml:space="preserve">S3 (1,156) replaced by S3b; see Search log</t>
  </si>
  <si>
    <t xml:space="preserve">Total records identified</t>
  </si>
  <si>
    <t xml:space="preserve">Duplicate records removed</t>
  </si>
  <si>
    <t xml:space="preserve">Same paper found by more than one string, or listed twice by Scopus</t>
  </si>
  <si>
    <t xml:space="preserve">SCREENING (title and abstract)</t>
  </si>
  <si>
    <t xml:space="preserve">Records screened</t>
  </si>
  <si>
    <t xml:space="preserve">Records excluded</t>
  </si>
  <si>
    <t xml:space="preserve">Records included for full-text assessment</t>
  </si>
  <si>
    <t xml:space="preserve">Excluded: EC1 single-hop LoRaWAN only</t>
  </si>
  <si>
    <t xml:space="preserve">Excluded: EC2 physical layer only</t>
  </si>
  <si>
    <t xml:space="preserve">Excluded: EC3 hardware above LoRa-node class</t>
  </si>
  <si>
    <t xml:space="preserve">Excluded: EC4 not a full paper</t>
  </si>
  <si>
    <t xml:space="preserve">Excluded: EC5 duplicate / earlier version</t>
  </si>
  <si>
    <t xml:space="preserve">Excluded: EC6 off-topic</t>
  </si>
  <si>
    <t xml:space="preserve">Excluded: EC7 application-focused</t>
  </si>
  <si>
    <t xml:space="preserve">Excluded: EC8 not in English</t>
  </si>
  <si>
    <t xml:space="preserve">Check: exclusion reasons add up (should be 0)</t>
  </si>
  <si>
    <t xml:space="preserve">Included, section 2.1</t>
  </si>
  <si>
    <t xml:space="preserve">Included, section 2.1 / 2.2 (security)</t>
  </si>
  <si>
    <t xml:space="preserve">Included, section 2.3</t>
  </si>
  <si>
    <t xml:space="preserve">Included, section 2.4</t>
  </si>
  <si>
    <t xml:space="preserve">ELIGIBILITY (full text): fill in after reading</t>
  </si>
  <si>
    <t xml:space="preserve">Full texts assessed</t>
  </si>
  <si>
    <t xml:space="preserve">Number of included papers you read in full</t>
  </si>
  <si>
    <t xml:space="preserve">Full texts not retrievable</t>
  </si>
  <si>
    <t xml:space="preserve">Paywalled and not available via UT (count these separately)</t>
  </si>
  <si>
    <t xml:space="preserve">Full texts excluded, with reasons</t>
  </si>
  <si>
    <t xml:space="preserve">Total number excluded after reading; write the reasons in your PRISMA diagram</t>
  </si>
  <si>
    <t xml:space="preserve">Added via reference lists (snowballing)</t>
  </si>
  <si>
    <t xml:space="preserve">Papers found in reference lists of included papers</t>
  </si>
  <si>
    <t xml:space="preserve">Added from grey literature</t>
  </si>
  <si>
    <t xml:space="preserve">Meshtastic/MeshCore docs, datasheets, standards</t>
  </si>
  <si>
    <t xml:space="preserve">INCLUDED in the review</t>
  </si>
  <si>
    <t xml:space="preserve">Formula: assessed - not retrievable - excluded + snowballing + grey literature</t>
  </si>
  <si>
    <t xml:space="preserve">Why it matters (AI note, check when reading)</t>
  </si>
  <si>
    <t xml:space="preserve">Read? / full-text decision</t>
  </si>
  <si>
    <t xml:space="preserve">Security and trust of the Meshtastic protocol; central for 2.1/2.2</t>
  </si>
  <si>
    <t xml:space="preserve">Meshtastic range measurements</t>
  </si>
  <si>
    <t xml:space="preserve">Meshtastic used in a real deployment</t>
  </si>
  <si>
    <t xml:space="preserve">Meshtastic multi-floor mesh: communication and energy</t>
  </si>
  <si>
    <t xml:space="preserve">Concurrent-transmission multi-hop LoRa (2017, foundational)</t>
  </si>
  <si>
    <t xml:space="preserve">Gossip routing study for smart cities</t>
  </si>
  <si>
    <t xml:space="preserve">Gossip routing in linear LoRa networks; compares with flooding</t>
  </si>
  <si>
    <t xml:space="preserve">Flooding in LoRa mesh networks: why flooding fits LoRa</t>
  </si>
  <si>
    <t xml:space="preserve">LoRa as mesh technology: concurrent transmission and flooding</t>
  </si>
  <si>
    <t xml:space="preserve">Early LoRa mesh routing protocol (2018)</t>
  </si>
  <si>
    <t xml:space="preserve">LoRa mesh library implementation (predecessor of LoRaMesher)</t>
  </si>
  <si>
    <t xml:space="preserve">LoRaute: routing in community backhaul LoRa networks</t>
  </si>
  <si>
    <t xml:space="preserve">Minimalistic distance-vector routing for LoRa mesh</t>
  </si>
  <si>
    <t xml:space="preserve">Gateway-free LoRa mesh on ESP32 with self-healing</t>
  </si>
  <si>
    <t xml:space="preserve">LoRaMesher: proactive distance-vector routing on ESP32; contrast with flooding</t>
  </si>
  <si>
    <t xml:space="preserve">Duty-cycle enforcement in distance-vector LoRa mesh (ns-3)</t>
  </si>
  <si>
    <t xml:space="preserve">Duty-cycle impact on multi-hop performance (also 2.3)</t>
  </si>
  <si>
    <t xml:space="preserve">Overview of routing in LoRaWAN and its challenges</t>
  </si>
  <si>
    <t xml:space="preserve">Survey of open-source and proprietary LoRa mesh systems; good opener for 2.1</t>
  </si>
  <si>
    <t xml:space="preserve">Recent review of multi-hop/mesh LoRa (2015-2023 papers); key survey</t>
  </si>
  <si>
    <t xml:space="preserve">Systematic review of LoRa mesh routing, energy, open challenges</t>
  </si>
  <si>
    <t xml:space="preserve">Security in an energy-constrained LoRa mesh; links 2.1 to 2.3</t>
  </si>
  <si>
    <t xml:space="preserve">Bit-flip attacks on stateless broadcast (flooding) protocols on a LoRa mesh testbed</t>
  </si>
  <si>
    <t xml:space="preserve">LoRa mesh with AODV and end-to-end encryption on MCU-class devices; links 2.1 and 2.3</t>
  </si>
  <si>
    <t xml:space="preserve">Routing-layer security threats in multi-hop LoRaWAN</t>
  </si>
  <si>
    <t xml:space="preserve">Secure decentralized LoRa emergency network prototype</t>
  </si>
  <si>
    <t xml:space="preserve">Clock-frequency impact on cipher-suite energy</t>
  </si>
  <si>
    <t xml:space="preserve">Multi-metric benchmark of lightweight ciphers</t>
  </si>
  <si>
    <t xml:space="preserve">Stream cipher on ESP32, ESP8266 and Raspberry Pi Pico (RP2040)</t>
  </si>
  <si>
    <t xml:space="preserve">Speck and Simon on ESP32 and STM32</t>
  </si>
  <si>
    <t xml:space="preserve">Ascon (NIST LWC winner) on Arduino devices</t>
  </si>
  <si>
    <t xml:space="preserve">AES + MAC against sniffing in LoRa networks</t>
  </si>
  <si>
    <t xml:space="preserve">Impact of cryptography in LoRa applications</t>
  </si>
  <si>
    <t xml:space="preserve">LoRa + ASCON framework</t>
  </si>
  <si>
    <t xml:space="preserve">AES-GCM + ECC key exchange on a LoRa device</t>
  </si>
  <si>
    <t xml:space="preserve">LoRa transmission performance with embedded lightweight encryption</t>
  </si>
  <si>
    <t xml:space="preserve">Experimental AES-128 cost in LoRaWAN</t>
  </si>
  <si>
    <t xml:space="preserve">Message security for MQTT-SN over LoRa</t>
  </si>
  <si>
    <t xml:space="preserve">ECC vs RSA on constrained IoT devices</t>
  </si>
  <si>
    <t xml:space="preserve">DTLS handshake cost in constrained LPWAN (payload, airtime)</t>
  </si>
  <si>
    <t xml:space="preserve">Post-quantum signatures on a LoRa ESP32 board</t>
  </si>
  <si>
    <t xml:space="preserve">EDHOC/OSCORE key exchange on ESP32 prototypes</t>
  </si>
  <si>
    <t xml:space="preserve">Post-quantum crypto feasibility on embedded platforms</t>
  </si>
  <si>
    <t xml:space="preserve">Survey: security on &lt;512 kB RAM IoT devices (BLE, Zigbee, LoRa)</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</si>
</sst>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doi.org/10.1109/wd.2019.8734228" TargetMode="External"/><Relationship Id="rId2" Type="http://schemas.openxmlformats.org/officeDocument/2006/relationships/hyperlink" Target="https://doi.org/10.1117/12.2588317" TargetMode="External"/><Relationship Id="rId3" Type="http://schemas.openxmlformats.org/officeDocument/2006/relationships/hyperlink" Target="https://doi.org/10.1109/icngcs64900.2025.11183332" TargetMode="External"/><Relationship Id="rId4" Type="http://schemas.openxmlformats.org/officeDocument/2006/relationships/hyperlink" Target="https://doi.org/10.1109/icitee59582.2023.10317648" TargetMode="External"/><Relationship Id="rId5" Type="http://schemas.openxmlformats.org/officeDocument/2006/relationships/hyperlink" Target="https://doi.org/10.15837/ijccc.2025.3.6501" TargetMode="External"/><Relationship Id="rId6" Type="http://schemas.openxmlformats.org/officeDocument/2006/relationships/hyperlink" Target="https://doi.org/10.1109/milcom52596.2021.9653022" TargetMode="External"/><Relationship Id="rId7" Type="http://schemas.openxmlformats.org/officeDocument/2006/relationships/hyperlink" Target="https://doi.org/10.1109/ieeeconf68869.2026.11460393" TargetMode="External"/><Relationship Id="rId8" Type="http://schemas.openxmlformats.org/officeDocument/2006/relationships/hyperlink" Target="https://doi.org/10.1109/wcnc61545.2025.10978775" TargetMode="External"/><Relationship Id="rId9" Type="http://schemas.openxmlformats.org/officeDocument/2006/relationships/hyperlink" Target="https://doi.org/10.1109/rast69551.2026.11672553" TargetMode="External"/><Relationship Id="rId10" Type="http://schemas.openxmlformats.org/officeDocument/2006/relationships/hyperlink" Target="https://doi.org/10.23919/icact48636.2020.9061519" TargetMode="External"/><Relationship Id="rId11" Type="http://schemas.openxmlformats.org/officeDocument/2006/relationships/hyperlink" Target="https://doi.org/10.3390/fi15110366" TargetMode="External"/><Relationship Id="rId12" Type="http://schemas.openxmlformats.org/officeDocument/2006/relationships/hyperlink" Target="https://doi.org/10.1109/icit45562.2020.9067213" TargetMode="External"/><Relationship Id="rId13" Type="http://schemas.openxmlformats.org/officeDocument/2006/relationships/hyperlink" Target="https://doi.org/10.14569/ijacsa.2026.0170436" TargetMode="External"/><Relationship Id="rId14" Type="http://schemas.openxmlformats.org/officeDocument/2006/relationships/hyperlink" Target="https://doi.org/10.1109/icicacs68679.2026.11578885" TargetMode="External"/><Relationship Id="rId15" Type="http://schemas.openxmlformats.org/officeDocument/2006/relationships/hyperlink" Target="https://doi.org/10.1016/j.iot.2026.101878" TargetMode="External"/><Relationship Id="rId16" Type="http://schemas.openxmlformats.org/officeDocument/2006/relationships/hyperlink" Target="https://doi.org/10.1016/j.comcom.2025.108404" TargetMode="External"/><Relationship Id="rId17" Type="http://schemas.openxmlformats.org/officeDocument/2006/relationships/hyperlink" Target="https://doi.org/10.1109/mwent55238.2022.9802378" TargetMode="External"/><Relationship Id="rId18" Type="http://schemas.openxmlformats.org/officeDocument/2006/relationships/hyperlink" Target="https://doi.org/10.1109/icabcd54961.2022.9856116" TargetMode="External"/><Relationship Id="rId19" Type="http://schemas.openxmlformats.org/officeDocument/2006/relationships/hyperlink" Target="https://doi.org/10.1016/j.csi.2023.103733" TargetMode="External"/><Relationship Id="rId20" Type="http://schemas.openxmlformats.org/officeDocument/2006/relationships/hyperlink" Target="https://doi.org/10.1007/978-3-030-66471-8_13" TargetMode="External"/><Relationship Id="rId21" Type="http://schemas.openxmlformats.org/officeDocument/2006/relationships/hyperlink" Target="https://doi.org/10.1109/isriti48646.2019.9034662" TargetMode="External"/><Relationship Id="rId22" Type="http://schemas.openxmlformats.org/officeDocument/2006/relationships/hyperlink" Target="https://doi.org/10.11591/ijeecs.v34.i2.pp960-969" TargetMode="External"/><Relationship Id="rId23" Type="http://schemas.openxmlformats.org/officeDocument/2006/relationships/hyperlink" Target="https://doi.org/10.1109/apwcs61586.2024.10679304" TargetMode="External"/><Relationship Id="rId24" Type="http://schemas.openxmlformats.org/officeDocument/2006/relationships/hyperlink" Target="https://doi.org/10.1109/icwt58823.2023.10335410" TargetMode="External"/><Relationship Id="rId25" Type="http://schemas.openxmlformats.org/officeDocument/2006/relationships/hyperlink" Target="https://doi.org/10.1109/infocomwkshps54753.2022.9798302" TargetMode="External"/><Relationship Id="rId26" Type="http://schemas.openxmlformats.org/officeDocument/2006/relationships/hyperlink" Target="https://doi.org/10.1007/978-3-030-61746-2_17" TargetMode="External"/><Relationship Id="rId27" Type="http://schemas.openxmlformats.org/officeDocument/2006/relationships/hyperlink" Target="https://doi.org/10.1109/icima68728.2026.11564606" TargetMode="External"/><Relationship Id="rId28" Type="http://schemas.openxmlformats.org/officeDocument/2006/relationships/hyperlink" Target="https://doi.org/10.1109/synchroinfo65403.2025.11079364" TargetMode="External"/><Relationship Id="rId29" Type="http://schemas.openxmlformats.org/officeDocument/2006/relationships/hyperlink" Target="https://doi.org/10.1109/access.2024.3494038" TargetMode="External"/><Relationship Id="rId30" Type="http://schemas.openxmlformats.org/officeDocument/2006/relationships/hyperlink" Target="https://doi.org/10.1504/ijict.2026.152287" TargetMode="External"/><Relationship Id="rId31" Type="http://schemas.openxmlformats.org/officeDocument/2006/relationships/hyperlink" Target="https://doi.org/10.1109/ict4da56482.2022.9971324" TargetMode="External"/><Relationship Id="rId32" Type="http://schemas.openxmlformats.org/officeDocument/2006/relationships/hyperlink" Target="https://doi.org/10.1109/sceecs61402.2024.10481946" TargetMode="External"/><Relationship Id="rId33" Type="http://schemas.openxmlformats.org/officeDocument/2006/relationships/hyperlink" Target="https://doi.org/10.1109/smc58881.2025.11343277" TargetMode="External"/><Relationship Id="rId34" Type="http://schemas.openxmlformats.org/officeDocument/2006/relationships/hyperlink" Target="https://doi.org/10.1016/j.softx.2026.102570" TargetMode="External"/><Relationship Id="rId35" Type="http://schemas.openxmlformats.org/officeDocument/2006/relationships/hyperlink" Target="https://doi.org/10.1109/wcnc55385.2023.10118770" TargetMode="External"/><Relationship Id="rId36" Type="http://schemas.openxmlformats.org/officeDocument/2006/relationships/hyperlink" Target="https://doi.org/10.1109/icssas64001.2024.10760890" TargetMode="External"/><Relationship Id="rId37" Type="http://schemas.openxmlformats.org/officeDocument/2006/relationships/hyperlink" Target="https://doi.org/10.1109/access.2019.2898239" TargetMode="External"/><Relationship Id="rId38" Type="http://schemas.openxmlformats.org/officeDocument/2006/relationships/hyperlink" Target="https://doi.org/10.1016/j.iotcps.2025.05.001" TargetMode="External"/><Relationship Id="rId39" Type="http://schemas.openxmlformats.org/officeDocument/2006/relationships/hyperlink" Target="https://doi.org/10.3390/s26123701" TargetMode="External"/><Relationship Id="rId40" Type="http://schemas.openxmlformats.org/officeDocument/2006/relationships/hyperlink" Target="https://doi.org/10.1109/meditcom67211.2026.11641097" TargetMode="External"/><Relationship Id="rId41" Type="http://schemas.openxmlformats.org/officeDocument/2006/relationships/hyperlink" Target="https://doi.org/10.1109/gcce65946.2025.11275080" TargetMode="External"/><Relationship Id="rId42" Type="http://schemas.openxmlformats.org/officeDocument/2006/relationships/hyperlink" Target="https://doi.org/10.1109/wf-iot64238.2025.11270542" TargetMode="External"/><Relationship Id="rId43" Type="http://schemas.openxmlformats.org/officeDocument/2006/relationships/hyperlink" Target="https://doi.org/10.3390/en15197382" TargetMode="External"/><Relationship Id="rId44" Type="http://schemas.openxmlformats.org/officeDocument/2006/relationships/hyperlink" Target="https://doi.org/10.1109/wimob.2017.8115756" TargetMode="External"/><Relationship Id="rId45" Type="http://schemas.openxmlformats.org/officeDocument/2006/relationships/hyperlink" Target="https://doi.org/10.1109/aicare66005.2025.11402816" TargetMode="External"/><Relationship Id="rId46" Type="http://schemas.openxmlformats.org/officeDocument/2006/relationships/hyperlink" Target="https://doi.org/10.1109/icramet67419.2025.11350147" TargetMode="External"/><Relationship Id="rId47" Type="http://schemas.openxmlformats.org/officeDocument/2006/relationships/hyperlink" Target="https://doi.org/10.1109/ccoms.2019.8821683" TargetMode="External"/><Relationship Id="rId48" Type="http://schemas.openxmlformats.org/officeDocument/2006/relationships/hyperlink" Target="https://doi.org/10.1109/icoin63865.2025.10992870" TargetMode="External"/><Relationship Id="rId49" Type="http://schemas.openxmlformats.org/officeDocument/2006/relationships/hyperlink" Target="https://doi.org/10.1109/codec60112.2023.10466170" TargetMode="External"/><Relationship Id="rId50" Type="http://schemas.openxmlformats.org/officeDocument/2006/relationships/hyperlink" Target="https://doi.org/10.1109/icii.2019.00043" TargetMode="External"/><Relationship Id="rId51" Type="http://schemas.openxmlformats.org/officeDocument/2006/relationships/hyperlink" Target="https://doi.org/10.1109/jiot.2026.3732880" TargetMode="External"/><Relationship Id="rId52" Type="http://schemas.openxmlformats.org/officeDocument/2006/relationships/hyperlink" Target="https://doi.org/10.1109/ict-dm58371.2023.10286960" TargetMode="External"/><Relationship Id="rId53" Type="http://schemas.openxmlformats.org/officeDocument/2006/relationships/hyperlink" Target="https://doi.org/10.3390/electronics14214135" TargetMode="External"/><Relationship Id="rId54" Type="http://schemas.openxmlformats.org/officeDocument/2006/relationships/hyperlink" Target="https://doi.org/10.1007/978-981-92-3681-7_12" TargetMode="External"/><Relationship Id="rId55" Type="http://schemas.openxmlformats.org/officeDocument/2006/relationships/hyperlink" Target="https://doi.org/10.1109/iicaiet67254.2025.11265326" TargetMode="External"/><Relationship Id="rId56" Type="http://schemas.openxmlformats.org/officeDocument/2006/relationships/hyperlink" Target="https://doi.org/10.3390/s22239332" TargetMode="External"/><Relationship Id="rId57" Type="http://schemas.openxmlformats.org/officeDocument/2006/relationships/hyperlink" Target="https://doi.org/10.3390/s26185839" TargetMode="External"/><Relationship Id="rId58" Type="http://schemas.openxmlformats.org/officeDocument/2006/relationships/hyperlink" Target="https://doi.org/10.3390/s22062253" TargetMode="External"/><Relationship Id="rId59" Type="http://schemas.openxmlformats.org/officeDocument/2006/relationships/hyperlink" Target="https://doi.org/10.1109/blackseacom69760.2026.11598298" TargetMode="External"/><Relationship Id="rId60" Type="http://schemas.openxmlformats.org/officeDocument/2006/relationships/hyperlink" Target="https://doi.org/10.1016/j.procs.2018.04.063" TargetMode="External"/><Relationship Id="rId61" Type="http://schemas.openxmlformats.org/officeDocument/2006/relationships/hyperlink" Target="https://doi.org/10.1007/s43995-025-00280-4" TargetMode="External"/><Relationship Id="rId62" Type="http://schemas.openxmlformats.org/officeDocument/2006/relationships/hyperlink" Target="https://doi.org/10.1109/icaiic64266.2025.10920859" TargetMode="External"/><Relationship Id="rId63" Type="http://schemas.openxmlformats.org/officeDocument/2006/relationships/hyperlink" Target="https://doi.org/10.3390/electronics12204225" TargetMode="External"/><Relationship Id="rId64" Type="http://schemas.openxmlformats.org/officeDocument/2006/relationships/hyperlink" Target="https://doi.org/10.3390/electronics11132078" TargetMode="External"/><Relationship Id="rId65" Type="http://schemas.openxmlformats.org/officeDocument/2006/relationships/hyperlink" Target="https://doi.org/10.1109/icc51166.2024.10622330" TargetMode="External"/><Relationship Id="rId66" Type="http://schemas.openxmlformats.org/officeDocument/2006/relationships/hyperlink" Target="https://doi.org/10.1109/naecon65708.2025.11235480" TargetMode="External"/><Relationship Id="rId67" Type="http://schemas.openxmlformats.org/officeDocument/2006/relationships/hyperlink" Target="https://doi.org/10.1109/iccit68739.2025.11491671" TargetMode="External"/><Relationship Id="rId68" Type="http://schemas.openxmlformats.org/officeDocument/2006/relationships/hyperlink" Target="https://doi.org/10.1016/j.adhoc.2025.104123" TargetMode="External"/><Relationship Id="rId69" Type="http://schemas.openxmlformats.org/officeDocument/2006/relationships/hyperlink" Target="https://doi.org/10.1016/j.iot.2021.100379" TargetMode="External"/><Relationship Id="rId70" Type="http://schemas.openxmlformats.org/officeDocument/2006/relationships/hyperlink" Target="https://doi.org/10.1109/iccci49374.2020.9145992" TargetMode="External"/><Relationship Id="rId71" Type="http://schemas.openxmlformats.org/officeDocument/2006/relationships/hyperlink" Target="https://doi.org/10.1109/ei250167.2020.9347316" TargetMode="External"/><Relationship Id="rId72" Type="http://schemas.openxmlformats.org/officeDocument/2006/relationships/hyperlink" Target="https://doi.org/10.1109/icit.2019.8755136" TargetMode="External"/><Relationship Id="rId73" Type="http://schemas.openxmlformats.org/officeDocument/2006/relationships/hyperlink" Target="https://doi.org/10.3390/computers10080093" TargetMode="External"/><Relationship Id="rId74" Type="http://schemas.openxmlformats.org/officeDocument/2006/relationships/hyperlink" Target="https://doi.org/10.1109/icicacs60521.2024.10498522" TargetMode="External"/><Relationship Id="rId75" Type="http://schemas.openxmlformats.org/officeDocument/2006/relationships/hyperlink" Target="https://doi.org/10.1109/iciem54221.2022.9853130" TargetMode="External"/><Relationship Id="rId76" Type="http://schemas.openxmlformats.org/officeDocument/2006/relationships/hyperlink" Target="https://doi.org/10.1109/icccn69946.2026.11662683" TargetMode="External"/><Relationship Id="rId77" Type="http://schemas.openxmlformats.org/officeDocument/2006/relationships/hyperlink" Target="https://doi.org/10.3390/s24185960" TargetMode="External"/><Relationship Id="rId78" Type="http://schemas.openxmlformats.org/officeDocument/2006/relationships/hyperlink" Target="https://doi.org/10.1109/apwcs61586.2024.10679328" TargetMode="External"/><Relationship Id="rId79" Type="http://schemas.openxmlformats.org/officeDocument/2006/relationships/hyperlink" Target="https://doi.org/10.1109/sas51076.2021.9530117" TargetMode="External"/><Relationship Id="rId80" Type="http://schemas.openxmlformats.org/officeDocument/2006/relationships/hyperlink" Target="https://doi.org/10.1145/3638241" TargetMode="External"/><Relationship Id="rId81" Type="http://schemas.openxmlformats.org/officeDocument/2006/relationships/hyperlink" Target="https://doi.org/10.1109/wowmom.2018.8449743" TargetMode="External"/><Relationship Id="rId82" Type="http://schemas.openxmlformats.org/officeDocument/2006/relationships/hyperlink" Target="https://doi.org/10.1109/ciscon66933.2025.11337728" TargetMode="External"/><Relationship Id="rId83" Type="http://schemas.openxmlformats.org/officeDocument/2006/relationships/hyperlink" Target="https://doi.org/10.1109/roboticcc68732.2025.00020" TargetMode="External"/><Relationship Id="rId84" Type="http://schemas.openxmlformats.org/officeDocument/2006/relationships/hyperlink" Target="https://doi.org/10.48009/3_iis_2022_124" TargetMode="External"/><Relationship Id="rId85" Type="http://schemas.openxmlformats.org/officeDocument/2006/relationships/hyperlink" Target="https://doi.org/10.1063/5.0082116" TargetMode="External"/><Relationship Id="rId86" Type="http://schemas.openxmlformats.org/officeDocument/2006/relationships/hyperlink" Target="https://doi.org/10.3390/electronics12132952" TargetMode="External"/><Relationship Id="rId87" Type="http://schemas.openxmlformats.org/officeDocument/2006/relationships/hyperlink" Target="https://doi.org/10.1109/jiot.2024.3350634" TargetMode="External"/><Relationship Id="rId88" Type="http://schemas.openxmlformats.org/officeDocument/2006/relationships/hyperlink" Target="https://doi.org/10.3390/fi11040099" TargetMode="External"/><Relationship Id="rId89" Type="http://schemas.openxmlformats.org/officeDocument/2006/relationships/hyperlink" Target="https://doi.org/10.1109/mcom.001.2000053" TargetMode="External"/><Relationship Id="rId90" Type="http://schemas.openxmlformats.org/officeDocument/2006/relationships/hyperlink" Target="https://doi.org/10.1109/icinvents64613.2025.11401504" TargetMode="External"/><Relationship Id="rId91" Type="http://schemas.openxmlformats.org/officeDocument/2006/relationships/hyperlink" Target="https://doi.org/10.1109/icecie66637.2025.11363862" TargetMode="External"/><Relationship Id="rId92" Type="http://schemas.openxmlformats.org/officeDocument/2006/relationships/hyperlink" Target="https://doi.org/10.1145/3491222" TargetMode="External"/><Relationship Id="rId93" Type="http://schemas.openxmlformats.org/officeDocument/2006/relationships/hyperlink" Target="https://doi.org/10.1007/978-3-030-65726-0_23" TargetMode="External"/><Relationship Id="rId94" Type="http://schemas.openxmlformats.org/officeDocument/2006/relationships/hyperlink" Target="https://doi.org/10.1109/itnac62915.2024.10815328" TargetMode="External"/><Relationship Id="rId95" Type="http://schemas.openxmlformats.org/officeDocument/2006/relationships/hyperlink" Target="https://doi.org/10.3390/fi18080389" TargetMode="External"/><Relationship Id="rId96" Type="http://schemas.openxmlformats.org/officeDocument/2006/relationships/hyperlink" Target="https://doi.org/10.1109/ict70370.2026.11594783" TargetMode="External"/><Relationship Id="rId97" Type="http://schemas.openxmlformats.org/officeDocument/2006/relationships/hyperlink" Target="https://doi.org/10.1109/itnac62915.2024.10815393" TargetMode="External"/><Relationship Id="rId98" Type="http://schemas.openxmlformats.org/officeDocument/2006/relationships/hyperlink" Target="https://doi.org/10.1109/jsen.2025.3547910" TargetMode="External"/><Relationship Id="rId99" Type="http://schemas.openxmlformats.org/officeDocument/2006/relationships/hyperlink" Target="https://doi.org/10.1109/iscv60512.2024.10620087" TargetMode="External"/><Relationship Id="rId100" Type="http://schemas.openxmlformats.org/officeDocument/2006/relationships/hyperlink" Target="https://doi.org/10.1016/j.future.2026.108368" TargetMode="External"/><Relationship Id="rId101" Type="http://schemas.openxmlformats.org/officeDocument/2006/relationships/hyperlink" Target="https://doi.org/10.1109/tvt.2025.3563236" TargetMode="External"/><Relationship Id="rId102" Type="http://schemas.openxmlformats.org/officeDocument/2006/relationships/hyperlink" Target="https://doi.org/10.3390/s26072226" TargetMode="External"/><Relationship Id="rId103" Type="http://schemas.openxmlformats.org/officeDocument/2006/relationships/hyperlink" Target="https://doi.org/10.1002/9781394311767.ch26" TargetMode="External"/><Relationship Id="rId104" Type="http://schemas.openxmlformats.org/officeDocument/2006/relationships/hyperlink" Target="https://doi.org/10.3390/electronics13193957" TargetMode="External"/><Relationship Id="rId105" Type="http://schemas.openxmlformats.org/officeDocument/2006/relationships/hyperlink" Target="https://doi.org/10.1109/ojcoms.2024.3350511" TargetMode="External"/><Relationship Id="rId106" Type="http://schemas.openxmlformats.org/officeDocument/2006/relationships/hyperlink" Target="https://doi.org/10.1109/ei268505.2025.11425276" TargetMode="External"/><Relationship Id="rId107" Type="http://schemas.openxmlformats.org/officeDocument/2006/relationships/hyperlink" Target="https://doi.org/10.1109/jsen.2020.2983765" TargetMode="External"/><Relationship Id="rId108" Type="http://schemas.openxmlformats.org/officeDocument/2006/relationships/hyperlink" Target="https://doi.org/10.1109/ghtc46280.2020.9342944" TargetMode="External"/><Relationship Id="rId109" Type="http://schemas.openxmlformats.org/officeDocument/2006/relationships/hyperlink" Target="https://doi.org/10.23919/icact53585.2022.9728830" TargetMode="External"/><Relationship Id="rId110" Type="http://schemas.openxmlformats.org/officeDocument/2006/relationships/hyperlink" Target="https://doi.org/10.1109/lcn58197.2023.10223398" TargetMode="External"/><Relationship Id="rId111" Type="http://schemas.openxmlformats.org/officeDocument/2006/relationships/hyperlink" Target="https://doi.org/10.1109/jiot.2024.3379863" TargetMode="External"/><Relationship Id="rId112" Type="http://schemas.openxmlformats.org/officeDocument/2006/relationships/hyperlink" Target="https://doi.org/10.1109/elticom61905.2023.10443135" TargetMode="External"/><Relationship Id="rId113" Type="http://schemas.openxmlformats.org/officeDocument/2006/relationships/hyperlink" Target="https://doi.org/10.1109/icoicc64033.2025.11052083" TargetMode="External"/><Relationship Id="rId114" Type="http://schemas.openxmlformats.org/officeDocument/2006/relationships/hyperlink" Target="https://doi.org/10.1109/icitisee57756.2022.10057806" TargetMode="External"/><Relationship Id="rId115" Type="http://schemas.openxmlformats.org/officeDocument/2006/relationships/hyperlink" Target="https://doi.org/10.1109/icufn55119.2022.9829696" TargetMode="External"/><Relationship Id="rId116" Type="http://schemas.openxmlformats.org/officeDocument/2006/relationships/hyperlink" Target="https://doi.org/10.1007/s12652-019-01207-3" TargetMode="External"/><Relationship Id="rId117" Type="http://schemas.openxmlformats.org/officeDocument/2006/relationships/hyperlink" Target="https://doi.org/10.1109/ieacon64690.2025.11254006" TargetMode="External"/><Relationship Id="rId118" Type="http://schemas.openxmlformats.org/officeDocument/2006/relationships/hyperlink" Target="https://doi.org/10.1109/access.2024.3383778" TargetMode="External"/><Relationship Id="rId119" Type="http://schemas.openxmlformats.org/officeDocument/2006/relationships/hyperlink" Target="https://doi.org/10.1109/itnac62915.2024.10815298" TargetMode="External"/><Relationship Id="rId120" Type="http://schemas.openxmlformats.org/officeDocument/2006/relationships/hyperlink" Target="https://doi.org/10.1109/isci57775.2022.00011" TargetMode="External"/><Relationship Id="rId121" Type="http://schemas.openxmlformats.org/officeDocument/2006/relationships/hyperlink" Target="https://doi.org/10.1109/acroset62108.2024.10743798" TargetMode="External"/><Relationship Id="rId122" Type="http://schemas.openxmlformats.org/officeDocument/2006/relationships/hyperlink" Target="https://doi.org/10.1007/978-3-030-16042-5_3" TargetMode="External"/><Relationship Id="rId123" Type="http://schemas.openxmlformats.org/officeDocument/2006/relationships/hyperlink" Target="https://doi.org/10.1145/3243046.3243048" TargetMode="External"/><Relationship Id="rId124" Type="http://schemas.openxmlformats.org/officeDocument/2006/relationships/hyperlink" Target="https://doi.org/10.1016/j.adhoc.2024.103729" TargetMode="External"/><Relationship Id="rId125" Type="http://schemas.openxmlformats.org/officeDocument/2006/relationships/hyperlink" Target="https://doi.org/10.1109/access.2019.2913985" TargetMode="External"/><Relationship Id="rId126" Type="http://schemas.openxmlformats.org/officeDocument/2006/relationships/hyperlink" Target="https://doi.org/10.1109/globecom52923.2024.10901589" TargetMode="External"/><Relationship Id="rId127" Type="http://schemas.openxmlformats.org/officeDocument/2006/relationships/hyperlink" Target="https://doi.org/10.1109/icramet62801.2024.10809301" TargetMode="External"/><Relationship Id="rId128" Type="http://schemas.openxmlformats.org/officeDocument/2006/relationships/hyperlink" Target="https://doi.org/10.3390/s23083874" TargetMode="External"/><Relationship Id="rId129" Type="http://schemas.openxmlformats.org/officeDocument/2006/relationships/hyperlink" Target="https://doi.org/10.1109/access.2017.2755858" TargetMode="External"/><Relationship Id="rId130" Type="http://schemas.openxmlformats.org/officeDocument/2006/relationships/hyperlink" Target="https://doi.org/10.1109/jiot.2023.3263630" TargetMode="External"/><Relationship Id="rId131" Type="http://schemas.openxmlformats.org/officeDocument/2006/relationships/hyperlink" Target="https://doi.org/10.1109/access.2022.3217215" TargetMode="External"/><Relationship Id="rId132" Type="http://schemas.openxmlformats.org/officeDocument/2006/relationships/hyperlink" Target="https://doi.org/10.2174/2210327913666230217150456" TargetMode="External"/><Relationship Id="rId133" Type="http://schemas.openxmlformats.org/officeDocument/2006/relationships/hyperlink" Target="https://doi.org/10.1109/lnet.2020.3003161" TargetMode="External"/><Relationship Id="rId134" Type="http://schemas.openxmlformats.org/officeDocument/2006/relationships/hyperlink" Target="https://doi.org/10.1109/dcoss-iot58021.2023.00070" TargetMode="External"/><Relationship Id="rId135" Type="http://schemas.openxmlformats.org/officeDocument/2006/relationships/hyperlink" Target="https://doi.org/10.1109/scse65633.2025.11031068" TargetMode="External"/><Relationship Id="rId136" Type="http://schemas.openxmlformats.org/officeDocument/2006/relationships/hyperlink" Target="https://doi.org/10.13382/j.jemi.b2508460" TargetMode="External"/><Relationship Id="rId137" Type="http://schemas.openxmlformats.org/officeDocument/2006/relationships/hyperlink" Target="https://doi.org/10.1109/iciccs67901.2026.11502757" TargetMode="External"/><Relationship Id="rId138" Type="http://schemas.openxmlformats.org/officeDocument/2006/relationships/hyperlink" Target="https://doi.org/10.1007/978-3-030-37161-6_55" TargetMode="External"/><Relationship Id="rId139" Type="http://schemas.openxmlformats.org/officeDocument/2006/relationships/hyperlink" Target="https://doi.org/10.1109/acpee56931.2023.10135768" TargetMode="External"/><Relationship Id="rId140" Type="http://schemas.openxmlformats.org/officeDocument/2006/relationships/hyperlink" Target="https://doi.org/10.1109/sips66314.2025.11261304" TargetMode="External"/><Relationship Id="rId141" Type="http://schemas.openxmlformats.org/officeDocument/2006/relationships/hyperlink" Target="https://doi.org/10.3390/electronics15091872" TargetMode="External"/><Relationship Id="rId142" Type="http://schemas.openxmlformats.org/officeDocument/2006/relationships/hyperlink" Target="https://doi.org/10.1109/ecai69016.2026.11613664" TargetMode="External"/><Relationship Id="rId143" Type="http://schemas.openxmlformats.org/officeDocument/2006/relationships/hyperlink" Target="https://doi.org/10.1109/globecom38437.2019.9013315" TargetMode="External"/><Relationship Id="rId144" Type="http://schemas.openxmlformats.org/officeDocument/2006/relationships/hyperlink" Target="https://doi.org/10.1016/j.compag.2024.109592" TargetMode="External"/><Relationship Id="rId145" Type="http://schemas.openxmlformats.org/officeDocument/2006/relationships/hyperlink" Target="https://doi.org/10.1109/worlds450073.2020.9210343" TargetMode="External"/><Relationship Id="rId146" Type="http://schemas.openxmlformats.org/officeDocument/2006/relationships/hyperlink" Target="https://doi.org/10.1109/imcet69180.2026.11503782" TargetMode="External"/><Relationship Id="rId147" Type="http://schemas.openxmlformats.org/officeDocument/2006/relationships/hyperlink" Target="https://doi.org/10.3390/s25196036" TargetMode="External"/><Relationship Id="rId148" Type="http://schemas.openxmlformats.org/officeDocument/2006/relationships/hyperlink" Target="https://doi.org/10.1109/icccmla66092.2025.11581260" TargetMode="External"/><Relationship Id="rId149" Type="http://schemas.openxmlformats.org/officeDocument/2006/relationships/hyperlink" Target="https://doi.org/10.1109/mosicom67153.2025.11398157" TargetMode="External"/><Relationship Id="rId150" Type="http://schemas.openxmlformats.org/officeDocument/2006/relationships/hyperlink" Target="https://doi.org/10.1109/tii.2025.3642036" TargetMode="External"/><Relationship Id="rId151" Type="http://schemas.openxmlformats.org/officeDocument/2006/relationships/hyperlink" Target="https://doi.org/10.1109/access.2024.3443605" TargetMode="External"/><Relationship Id="rId152" Type="http://schemas.openxmlformats.org/officeDocument/2006/relationships/hyperlink" Target="https://doi.org/10.1145/3653644.3669720" TargetMode="External"/><Relationship Id="rId153" Type="http://schemas.openxmlformats.org/officeDocument/2006/relationships/hyperlink" Target="https://doi.org/10.23919/icn.2021.0001" TargetMode="External"/><Relationship Id="rId154" Type="http://schemas.openxmlformats.org/officeDocument/2006/relationships/hyperlink" Target="https://doi.org/10.1109/access.2021.3135080" TargetMode="External"/><Relationship Id="rId155" Type="http://schemas.openxmlformats.org/officeDocument/2006/relationships/hyperlink" Target="https://doi.org/10.1109/icoin48656.2020.9016483" TargetMode="External"/><Relationship Id="rId156" Type="http://schemas.openxmlformats.org/officeDocument/2006/relationships/hyperlink" Target="https://doi.org/10.1109/eucnc/6gsummit63408.2025.11037043" TargetMode="External"/><Relationship Id="rId157" Type="http://schemas.openxmlformats.org/officeDocument/2006/relationships/hyperlink" Target="https://doi.org/10.1109/jiot.2021.3095494" TargetMode="External"/><Relationship Id="rId158" Type="http://schemas.openxmlformats.org/officeDocument/2006/relationships/hyperlink" Target="https://doi.org/10.1109/sennano64909.2025.11473122" TargetMode="External"/><Relationship Id="rId159" Type="http://schemas.openxmlformats.org/officeDocument/2006/relationships/hyperlink" Target="https://doi.org/10.1080/02564602.2026.2699799" TargetMode="External"/><Relationship Id="rId160" Type="http://schemas.openxmlformats.org/officeDocument/2006/relationships/hyperlink" Target="https://doi.org/10.1109/icsenst.2018.8603641" TargetMode="External"/><Relationship Id="rId161" Type="http://schemas.openxmlformats.org/officeDocument/2006/relationships/hyperlink" Target="https://doi.org/10.1109/dcoss54816.2022.00014" TargetMode="External"/><Relationship Id="rId162" Type="http://schemas.openxmlformats.org/officeDocument/2006/relationships/hyperlink" Target="https://doi.org/10.1504/ijsnet.2024.142707" TargetMode="External"/><Relationship Id="rId163" Type="http://schemas.openxmlformats.org/officeDocument/2006/relationships/hyperlink" Target="https://doi.org/10.1109/jiot.2023.3281941" TargetMode="External"/><Relationship Id="rId164" Type="http://schemas.openxmlformats.org/officeDocument/2006/relationships/hyperlink" Target="https://doi.org/10.1109/wowmom57956.2023.00065" TargetMode="External"/><Relationship Id="rId165" Type="http://schemas.openxmlformats.org/officeDocument/2006/relationships/hyperlink" Target="https://doi.org/10.1109/icect61618.2024.10581068" TargetMode="External"/><Relationship Id="rId166" Type="http://schemas.openxmlformats.org/officeDocument/2006/relationships/hyperlink" Target="https://doi.org/10.3390/s26041112" TargetMode="External"/><Relationship Id="rId167" Type="http://schemas.openxmlformats.org/officeDocument/2006/relationships/hyperlink" Target="https://doi.org/10.1016/j.future.2022.05.028" TargetMode="External"/><Relationship Id="rId168" Type="http://schemas.openxmlformats.org/officeDocument/2006/relationships/hyperlink" Target="https://doi.org/10.1049/el.2020.0575" TargetMode="External"/><Relationship Id="rId169" Type="http://schemas.openxmlformats.org/officeDocument/2006/relationships/hyperlink" Target="https://doi.org/10.1109/secon64284.2024.10934864" TargetMode="External"/><Relationship Id="rId170" Type="http://schemas.openxmlformats.org/officeDocument/2006/relationships/hyperlink" Target="https://doi.org/10.1016/j.adhoc.2019.101993" TargetMode="External"/><Relationship Id="rId171" Type="http://schemas.openxmlformats.org/officeDocument/2006/relationships/hyperlink" Target="https://doi.org/10.1109/icct-pacific69083.2026.11518713" TargetMode="External"/><Relationship Id="rId172" Type="http://schemas.openxmlformats.org/officeDocument/2006/relationships/hyperlink" Target="https://doi.org/10.1109/iceamst67459.2025.11335642" TargetMode="External"/><Relationship Id="rId173" Type="http://schemas.openxmlformats.org/officeDocument/2006/relationships/hyperlink" Target="https://doi.org/10.3390/s23083795" TargetMode="External"/><Relationship Id="rId174" Type="http://schemas.openxmlformats.org/officeDocument/2006/relationships/hyperlink" Target="https://doi.org/10.1109/icaace69793.2026.11508939" TargetMode="External"/><Relationship Id="rId175" Type="http://schemas.openxmlformats.org/officeDocument/2006/relationships/hyperlink" Target="https://doi.org/10.1016/j.ssaho.2026.103296" TargetMode="External"/><Relationship Id="rId176" Type="http://schemas.openxmlformats.org/officeDocument/2006/relationships/hyperlink" Target="https://doi.org/10.1109/smartnets69662.2026.11604642" TargetMode="External"/><Relationship Id="rId177" Type="http://schemas.openxmlformats.org/officeDocument/2006/relationships/hyperlink" Target="https://doi.org/10.1145/3747295" TargetMode="External"/><Relationship Id="rId178" Type="http://schemas.openxmlformats.org/officeDocument/2006/relationships/hyperlink" Target="https://doi.org/10.1109/tgcn.2026.3715648" TargetMode="External"/><Relationship Id="rId179" Type="http://schemas.openxmlformats.org/officeDocument/2006/relationships/hyperlink" Target="https://doi.org/10.1109/bmsb58369.2023.10211537" TargetMode="External"/><Relationship Id="rId180" Type="http://schemas.openxmlformats.org/officeDocument/2006/relationships/hyperlink" Target="https://doi.org/10.1007/978-3-031-29056-5_8" TargetMode="External"/><Relationship Id="rId181" Type="http://schemas.openxmlformats.org/officeDocument/2006/relationships/hyperlink" Target="https://doi.org/10.3390/iot7030079" TargetMode="External"/><Relationship Id="rId182" Type="http://schemas.openxmlformats.org/officeDocument/2006/relationships/hyperlink" Target="https://doi.org/10.1109/ccnc.2018.8319183" TargetMode="External"/><Relationship Id="rId183" Type="http://schemas.openxmlformats.org/officeDocument/2006/relationships/hyperlink" Target="https://doi.org/10.1007/978-3-032-19981-2_9" TargetMode="External"/><Relationship Id="rId184" Type="http://schemas.openxmlformats.org/officeDocument/2006/relationships/hyperlink" Target="https://doi.org/10.1049/cmu2.70221" TargetMode="External"/><Relationship Id="rId185" Type="http://schemas.openxmlformats.org/officeDocument/2006/relationships/hyperlink" Target="https://doi.org/10.1140/epjp/s13360-026-07808-0" TargetMode="External"/><Relationship Id="rId186" Type="http://schemas.openxmlformats.org/officeDocument/2006/relationships/hyperlink" Target="https://doi.org/10.1109/access.2025.3603021" TargetMode="External"/><Relationship Id="rId187" Type="http://schemas.openxmlformats.org/officeDocument/2006/relationships/hyperlink" Target="https://doi.org/10.1016/j.comcom.2021.11.010" TargetMode="External"/><Relationship Id="rId188" Type="http://schemas.openxmlformats.org/officeDocument/2006/relationships/hyperlink" Target="https://doi.org/10.1109/iemcon51383.2020.9284888" TargetMode="External"/><Relationship Id="rId189" Type="http://schemas.openxmlformats.org/officeDocument/2006/relationships/hyperlink" Target="https://doi.org/10.1145/3636534.3690659" TargetMode="External"/><Relationship Id="rId190" Type="http://schemas.openxmlformats.org/officeDocument/2006/relationships/hyperlink" Target="https://doi.org/10.1145/3297280.3297655" TargetMode="External"/><Relationship Id="rId191" Type="http://schemas.openxmlformats.org/officeDocument/2006/relationships/hyperlink" Target="https://doi.org/10.1109/access.2023.3278687" TargetMode="External"/><Relationship Id="rId192" Type="http://schemas.openxmlformats.org/officeDocument/2006/relationships/hyperlink" Target="https://doi.org/10.1109/iscaie61308.2024.10576269" TargetMode="External"/><Relationship Id="rId193" Type="http://schemas.openxmlformats.org/officeDocument/2006/relationships/hyperlink" Target="https://doi.org/10.1109/icdcs54860.2022.00150" TargetMode="External"/><Relationship Id="rId194" Type="http://schemas.openxmlformats.org/officeDocument/2006/relationships/hyperlink" Target="https://doi.org/10.3390/sym12040552" TargetMode="External"/><Relationship Id="rId195" Type="http://schemas.openxmlformats.org/officeDocument/2006/relationships/hyperlink" Target="https://doi.org/10.1109/glocom.2018.8647177" TargetMode="External"/><Relationship Id="rId196" Type="http://schemas.openxmlformats.org/officeDocument/2006/relationships/hyperlink" Target="https://doi.org/10.1109/access.2026.3714528" TargetMode="External"/><Relationship Id="rId197" Type="http://schemas.openxmlformats.org/officeDocument/2006/relationships/hyperlink" Target="https://doi.org/10.1109/jiot.2022.3185619" TargetMode="External"/><Relationship Id="rId198" Type="http://schemas.openxmlformats.org/officeDocument/2006/relationships/hyperlink" Target="https://doi.org/10.1109/qpain66474.2025.11171856" TargetMode="External"/><Relationship Id="rId199" Type="http://schemas.openxmlformats.org/officeDocument/2006/relationships/hyperlink" Target="https://doi.org/10.1109/metroind4.0iot48571.2020.9138206" TargetMode="External"/><Relationship Id="rId200" Type="http://schemas.openxmlformats.org/officeDocument/2006/relationships/hyperlink" Target="https://doi.org/10.3389/feart.2019.00137" TargetMode="External"/><Relationship Id="rId201" Type="http://schemas.openxmlformats.org/officeDocument/2006/relationships/hyperlink" Target="https://doi.org/10.1049/gtd2.70105" TargetMode="External"/><Relationship Id="rId202" Type="http://schemas.openxmlformats.org/officeDocument/2006/relationships/hyperlink" Target="https://doi.org/10.1145/3616901.3616917" TargetMode="External"/><Relationship Id="rId203" Type="http://schemas.openxmlformats.org/officeDocument/2006/relationships/hyperlink" Target="https://doi.org/10.1007/978-3-032-20544-5_28" TargetMode="External"/><Relationship Id="rId204" Type="http://schemas.openxmlformats.org/officeDocument/2006/relationships/hyperlink" Target="https://doi.org/10.1007/978-3-032-18138-1_6" TargetMode="External"/><Relationship Id="rId205" Type="http://schemas.openxmlformats.org/officeDocument/2006/relationships/hyperlink" Target="https://doi.org/10.1016/b978-0-12-820581-5.00013-4" TargetMode="External"/><Relationship Id="rId206" Type="http://schemas.openxmlformats.org/officeDocument/2006/relationships/hyperlink" Target="https://doi.org/10.1109/sensys-adjunct71932.2026.00061" TargetMode="External"/><Relationship Id="rId207" Type="http://schemas.openxmlformats.org/officeDocument/2006/relationships/hyperlink" Target="https://doi.org/10.1109/icoei68323.2026.11542113" TargetMode="External"/><Relationship Id="rId208" Type="http://schemas.openxmlformats.org/officeDocument/2006/relationships/hyperlink" Target="https://doi.org/10.1145/3716554.3716610" TargetMode="External"/><Relationship Id="rId209" Type="http://schemas.openxmlformats.org/officeDocument/2006/relationships/hyperlink" Target="https://doi.org/10.1109/ismsit50672.2020.9255054" TargetMode="External"/><Relationship Id="rId210" Type="http://schemas.openxmlformats.org/officeDocument/2006/relationships/hyperlink" Target="https://doi.org/10.1109/jsen.2024.3403308" TargetMode="External"/><Relationship Id="rId211" Type="http://schemas.openxmlformats.org/officeDocument/2006/relationships/hyperlink" Target="https://doi.org/10.1109/icnas53565.2021.9628947" TargetMode="External"/><Relationship Id="rId212" Type="http://schemas.openxmlformats.org/officeDocument/2006/relationships/hyperlink" Target="https://doi.org/10.3390/s25020496" TargetMode="External"/><Relationship Id="rId213" Type="http://schemas.openxmlformats.org/officeDocument/2006/relationships/hyperlink" Target="https://doi.org/10.3390/electronics15184283" TargetMode="External"/><Relationship Id="rId214" Type="http://schemas.openxmlformats.org/officeDocument/2006/relationships/hyperlink" Target="https://doi.org/10.1016/j.neucom.2026.133756" TargetMode="External"/><Relationship Id="rId215" Type="http://schemas.openxmlformats.org/officeDocument/2006/relationships/hyperlink" Target="https://doi.org/10.1016/j.advengsoft.2022.103247" TargetMode="External"/><Relationship Id="rId216" Type="http://schemas.openxmlformats.org/officeDocument/2006/relationships/hyperlink" Target="https://doi.org/10.1109/icears67481.2026.11416606" TargetMode="External"/><Relationship Id="rId217" Type="http://schemas.openxmlformats.org/officeDocument/2006/relationships/hyperlink" Target="https://doi.org/10.1007/978-981-16-8546-0_3" TargetMode="External"/><Relationship Id="rId218" Type="http://schemas.openxmlformats.org/officeDocument/2006/relationships/hyperlink" Target="https://doi.org/10.1109/iccais48893.2020.9096824" TargetMode="External"/><Relationship Id="rId219" Type="http://schemas.openxmlformats.org/officeDocument/2006/relationships/hyperlink" Target="https://doi.org/10.3390/s21041179" TargetMode="External"/><Relationship Id="rId220" Type="http://schemas.openxmlformats.org/officeDocument/2006/relationships/hyperlink" Target="https://doi.org/10.1109/cloudtech58737.2023.10366151" TargetMode="External"/><Relationship Id="rId221" Type="http://schemas.openxmlformats.org/officeDocument/2006/relationships/hyperlink" Target="https://doi.org/10.3390/electronics13061055" TargetMode="External"/><Relationship Id="rId222" Type="http://schemas.openxmlformats.org/officeDocument/2006/relationships/hyperlink" Target="https://doi.org/10.1007/978-3-031-16364-7_5" TargetMode="External"/><Relationship Id="rId223" Type="http://schemas.openxmlformats.org/officeDocument/2006/relationships/hyperlink" Target="https://doi.org/10.1109/icmnwc66779.2025.11354222" TargetMode="External"/><Relationship Id="rId224" Type="http://schemas.openxmlformats.org/officeDocument/2006/relationships/hyperlink" Target="https://doi.org/10.1109/jiot.2026.3675915" TargetMode="External"/><Relationship Id="rId225" Type="http://schemas.openxmlformats.org/officeDocument/2006/relationships/hyperlink" Target="https://doi.org/10.1109/icsccc69031.2026.11600121" TargetMode="External"/><Relationship Id="rId226" Type="http://schemas.openxmlformats.org/officeDocument/2006/relationships/hyperlink" Target="https://doi.org/10.1109/jiot.2026.3712402" TargetMode="External"/><Relationship Id="rId227" Type="http://schemas.openxmlformats.org/officeDocument/2006/relationships/hyperlink" Target="https://doi.org/10.3390/agriengineering8030093" TargetMode="External"/><Relationship Id="rId228" Type="http://schemas.openxmlformats.org/officeDocument/2006/relationships/hyperlink" Target="https://doi.org/10.3390/drones5020026" TargetMode="External"/><Relationship Id="rId229" Type="http://schemas.openxmlformats.org/officeDocument/2006/relationships/hyperlink" Target="https://doi.org/10.1109/jiot.2025.3649316" TargetMode="External"/><Relationship Id="rId230" Type="http://schemas.openxmlformats.org/officeDocument/2006/relationships/hyperlink" Target="https://doi.org/10.1109/tdsc.2025.3611414" TargetMode="External"/><Relationship Id="rId231" Type="http://schemas.openxmlformats.org/officeDocument/2006/relationships/hyperlink" Target="https://doi.org/10.1007/978-981-97-1432-2_1" TargetMode="External"/><Relationship Id="rId232" Type="http://schemas.openxmlformats.org/officeDocument/2006/relationships/hyperlink" Target="https://doi.org/10.3390/computers11050081" TargetMode="External"/><Relationship Id="rId233" Type="http://schemas.openxmlformats.org/officeDocument/2006/relationships/hyperlink" Target="https://doi.org/10.1007/s12083-026-02251-5" TargetMode="External"/><Relationship Id="rId234" Type="http://schemas.openxmlformats.org/officeDocument/2006/relationships/hyperlink" Target="https://doi.org/10.1007/978-981-95-6209-1_19" TargetMode="External"/><Relationship Id="rId235" Type="http://schemas.openxmlformats.org/officeDocument/2006/relationships/hyperlink" Target="https://doi.org/10.3390/s25237128" TargetMode="External"/><Relationship Id="rId236" Type="http://schemas.openxmlformats.org/officeDocument/2006/relationships/hyperlink" Target="https://doi.org/10.1109/ipsn48710.2020.00031" TargetMode="External"/><Relationship Id="rId237" Type="http://schemas.openxmlformats.org/officeDocument/2006/relationships/hyperlink" Target="https://doi.org/10.1109/ichveps66913.2025.11351177" TargetMode="External"/><Relationship Id="rId238" Type="http://schemas.openxmlformats.org/officeDocument/2006/relationships/hyperlink" Target="https://doi.org/10.1109/access.2025.3594875" TargetMode="External"/><Relationship Id="rId239" Type="http://schemas.openxmlformats.org/officeDocument/2006/relationships/hyperlink" Target="https://doi.org/10.1007/978-981-97-8348-9_8" TargetMode="External"/><Relationship Id="rId240" Type="http://schemas.openxmlformats.org/officeDocument/2006/relationships/hyperlink" Target="https://doi.org/10.1109/icabcd.2019.8851043" TargetMode="External"/><Relationship Id="rId241" Type="http://schemas.openxmlformats.org/officeDocument/2006/relationships/hyperlink" Target="https://doi.org/10.1007/978-3-030-15032-7_91" TargetMode="External"/><Relationship Id="rId242" Type="http://schemas.openxmlformats.org/officeDocument/2006/relationships/hyperlink" Target="https://doi.org/10.1109/apsipaasc65261.2025.11249190" TargetMode="External"/><Relationship Id="rId243" Type="http://schemas.openxmlformats.org/officeDocument/2006/relationships/hyperlink" Target="https://doi.org/10.1109/icpcsn68523.2026.11543532" TargetMode="External"/><Relationship Id="rId244" Type="http://schemas.openxmlformats.org/officeDocument/2006/relationships/hyperlink" Target="https://doi.org/10.1145/3549206.3549312" TargetMode="External"/><Relationship Id="rId245" Type="http://schemas.openxmlformats.org/officeDocument/2006/relationships/hyperlink" Target="https://doi.org/10.1109/infocomwkshps51825.2021.9484615" TargetMode="External"/><Relationship Id="rId246" Type="http://schemas.openxmlformats.org/officeDocument/2006/relationships/hyperlink" Target="https://doi.org/10.1155/2019/1986325" TargetMode="External"/><Relationship Id="rId247" Type="http://schemas.openxmlformats.org/officeDocument/2006/relationships/hyperlink" Target="https://doi.org/10.3390/computers14120531" TargetMode="External"/><Relationship Id="rId248" Type="http://schemas.openxmlformats.org/officeDocument/2006/relationships/hyperlink" Target="https://doi.org/10.1007/s00607-025-01519-7" TargetMode="External"/><Relationship Id="rId249" Type="http://schemas.openxmlformats.org/officeDocument/2006/relationships/hyperlink" Target="https://doi.org/10.53799/ajse.v23i2.1055" TargetMode="External"/><Relationship Id="rId250" Type="http://schemas.openxmlformats.org/officeDocument/2006/relationships/hyperlink" Target="https://doi.org/10.1109/icnc64010.2025.10993702" TargetMode="External"/><Relationship Id="rId251" Type="http://schemas.openxmlformats.org/officeDocument/2006/relationships/hyperlink" Target="https://doi.org/10.1109/iconstem65670.2025.11374609" TargetMode="External"/><Relationship Id="rId252" Type="http://schemas.openxmlformats.org/officeDocument/2006/relationships/hyperlink" Target="https://doi.org/10.1109/uemcon59035.2023.10316084" TargetMode="External"/><Relationship Id="rId253" Type="http://schemas.openxmlformats.org/officeDocument/2006/relationships/hyperlink" Target="https://doi.org/10.1109/cist49399.2021.9357283" TargetMode="External"/><Relationship Id="rId254" Type="http://schemas.openxmlformats.org/officeDocument/2006/relationships/hyperlink" Target="https://doi.org/10.1109/iccmc69250.2026.11624823" TargetMode="External"/><Relationship Id="rId255" Type="http://schemas.openxmlformats.org/officeDocument/2006/relationships/hyperlink" Target="https://doi.org/10.1109/iscipt61983.2024.10673138" TargetMode="External"/><Relationship Id="rId256" Type="http://schemas.openxmlformats.org/officeDocument/2006/relationships/hyperlink" Target="https://doi.org/10.1109/icicds70526.2026.11604835" TargetMode="External"/><Relationship Id="rId257" Type="http://schemas.openxmlformats.org/officeDocument/2006/relationships/hyperlink" Target="https://doi.org/10.1109/comsnets59351.2024.10427321" TargetMode="External"/><Relationship Id="rId258" Type="http://schemas.openxmlformats.org/officeDocument/2006/relationships/hyperlink" Target="https://doi.org/10.1109/asms/spsc64465.2025.10946025" TargetMode="External"/><Relationship Id="rId259" Type="http://schemas.openxmlformats.org/officeDocument/2006/relationships/hyperlink" Target="https://doi.org/10.1109/iccsn57992.2023.10297398" TargetMode="External"/><Relationship Id="rId260" Type="http://schemas.openxmlformats.org/officeDocument/2006/relationships/hyperlink" Target="https://doi.org/10.1109/wetice67341.2025.11092217" TargetMode="External"/><Relationship Id="rId261" Type="http://schemas.openxmlformats.org/officeDocument/2006/relationships/hyperlink" Target="https://doi.org/10.1109/ai-si66213.2025.11341516" TargetMode="External"/><Relationship Id="rId262" Type="http://schemas.openxmlformats.org/officeDocument/2006/relationships/hyperlink" Target="https://doi.org/10.1109/icoeca66273.2025.00031" TargetMode="External"/><Relationship Id="rId263" Type="http://schemas.openxmlformats.org/officeDocument/2006/relationships/hyperlink" Target="https://doi.org/10.1007/s13177-024-00409-0" TargetMode="External"/><Relationship Id="rId264" Type="http://schemas.openxmlformats.org/officeDocument/2006/relationships/hyperlink" Target="https://doi.org/10.1109/itnac46935.2019.9077977" TargetMode="External"/><Relationship Id="rId265" Type="http://schemas.openxmlformats.org/officeDocument/2006/relationships/hyperlink" Target="https://doi.org/10.1145/3819836.3819848" TargetMode="External"/><Relationship Id="rId266" Type="http://schemas.openxmlformats.org/officeDocument/2006/relationships/hyperlink" Target="https://doi.org/10.1007/s40030-025-00912-x" TargetMode="External"/><Relationship Id="rId267" Type="http://schemas.openxmlformats.org/officeDocument/2006/relationships/hyperlink" Target="https://doi.org/10.1109/gcwot53057.2022.9772903" TargetMode="External"/><Relationship Id="rId268" Type="http://schemas.openxmlformats.org/officeDocument/2006/relationships/hyperlink" Target="https://doi.org/10.1016/j.jisa.2026.104596" TargetMode="External"/><Relationship Id="rId269" Type="http://schemas.openxmlformats.org/officeDocument/2006/relationships/hyperlink" Target="https://doi.org/10.1145/3719027.3765571" TargetMode="External"/><Relationship Id="rId270" Type="http://schemas.openxmlformats.org/officeDocument/2006/relationships/hyperlink" Target="https://doi.org/10.3390/fi18060306" TargetMode="External"/><Relationship Id="rId271" Type="http://schemas.openxmlformats.org/officeDocument/2006/relationships/hyperlink" Target="https://doi.org/10.1109/eee-am66675.2025.11473825" TargetMode="External"/><Relationship Id="rId272" Type="http://schemas.openxmlformats.org/officeDocument/2006/relationships/hyperlink" Target="https://doi.org/10.1186/s42400-026-00621-3" TargetMode="External"/><Relationship Id="rId273" Type="http://schemas.openxmlformats.org/officeDocument/2006/relationships/hyperlink" Target="https://doi.org/10.1109/blackseacom69760.2026.11598536" TargetMode="External"/><Relationship Id="rId274" Type="http://schemas.openxmlformats.org/officeDocument/2006/relationships/hyperlink" Target="https://doi.org/10.1016/j.adhoc.2026.104370" TargetMode="External"/><Relationship Id="rId275" Type="http://schemas.openxmlformats.org/officeDocument/2006/relationships/hyperlink" Target="https://doi.org/10.1145/3785520.3785521" TargetMode="External"/><Relationship Id="rId276" Type="http://schemas.openxmlformats.org/officeDocument/2006/relationships/hyperlink" Target="https://doi.org/10.23919/mixdes69535.2026.11617208" TargetMode="External"/><Relationship Id="rId277" Type="http://schemas.openxmlformats.org/officeDocument/2006/relationships/hyperlink" Target="https://doi.org/10.1109/ickecs70176.2026.11527971" TargetMode="External"/><Relationship Id="rId278" Type="http://schemas.openxmlformats.org/officeDocument/2006/relationships/hyperlink" Target="https://doi.org/10.1145/3626641.3627018" TargetMode="External"/><Relationship Id="rId279" Type="http://schemas.openxmlformats.org/officeDocument/2006/relationships/hyperlink" Target="https://doi.org/10.1109/iceei59426.2023.10346851" TargetMode="External"/><Relationship Id="rId280" Type="http://schemas.openxmlformats.org/officeDocument/2006/relationships/hyperlink" Target="https://doi.org/10.1109/aieee71113.2026.11577039" TargetMode="External"/><Relationship Id="rId281" Type="http://schemas.openxmlformats.org/officeDocument/2006/relationships/hyperlink" Target="https://doi.org/10.1007/978-3-032-20235-2_33" TargetMode="External"/><Relationship Id="rId282" Type="http://schemas.openxmlformats.org/officeDocument/2006/relationships/hyperlink" Target="https://doi.org/10.1109/iotais67227.2025.11282126" TargetMode="External"/><Relationship Id="rId283" Type="http://schemas.openxmlformats.org/officeDocument/2006/relationships/hyperlink" Target="https://doi.org/10.1109/siu71813.2026.11636870" TargetMode="External"/><Relationship Id="rId284" Type="http://schemas.openxmlformats.org/officeDocument/2006/relationships/hyperlink" Target="https://doi.org/10.1109/giest66547.2025.11387262" TargetMode="External"/><Relationship Id="rId285" Type="http://schemas.openxmlformats.org/officeDocument/2006/relationships/hyperlink" Target="https://doi.org/10.1109/icadeis52521.2021.9702081" TargetMode="External"/><Relationship Id="rId286" Type="http://schemas.openxmlformats.org/officeDocument/2006/relationships/hyperlink" Target="https://doi.org/10.1109/access.2025.3624661" TargetMode="External"/><Relationship Id="rId287" Type="http://schemas.openxmlformats.org/officeDocument/2006/relationships/hyperlink" Target="https://doi.org/10.1007/978-3-032-29501-9_3" TargetMode="External"/><Relationship Id="rId288" Type="http://schemas.openxmlformats.org/officeDocument/2006/relationships/hyperlink" Target="https://doi.org/10.1109/jiot.2025.3611318" TargetMode="External"/><Relationship Id="rId289" Type="http://schemas.openxmlformats.org/officeDocument/2006/relationships/hyperlink" Target="https://doi.org/10.1109/sbesc68008.2025.11288889" TargetMode="External"/><Relationship Id="rId290" Type="http://schemas.openxmlformats.org/officeDocument/2006/relationships/hyperlink" Target="https://doi.org/10.1109/atnt61688.2024.10719299" TargetMode="External"/><Relationship Id="rId291" Type="http://schemas.openxmlformats.org/officeDocument/2006/relationships/hyperlink" Target="https://doi.org/10.11591/ijece.v14i6.pp6846-6860" TargetMode="External"/><Relationship Id="rId292" Type="http://schemas.openxmlformats.org/officeDocument/2006/relationships/hyperlink" Target="https://doi.org/10.1109/tifs.2025.3583490" TargetMode="External"/><Relationship Id="rId293" Type="http://schemas.openxmlformats.org/officeDocument/2006/relationships/hyperlink" Target="https://doi.org/10.1109/giots.2018.8534575" TargetMode="External"/><Relationship Id="rId294" Type="http://schemas.openxmlformats.org/officeDocument/2006/relationships/hyperlink" Target="https://doi.org/10.1016/j.iot.2025.101788" TargetMode="External"/><Relationship Id="rId295" Type="http://schemas.openxmlformats.org/officeDocument/2006/relationships/hyperlink" Target="https://doi.org/10.5194/isprs-archives-xlviii-4-w16-2025-105-2025" TargetMode="External"/><Relationship Id="rId296" Type="http://schemas.openxmlformats.org/officeDocument/2006/relationships/hyperlink" Target="https://doi.org/10.1109/imitec50163.2020.9334108" TargetMode="External"/><Relationship Id="rId297" Type="http://schemas.openxmlformats.org/officeDocument/2006/relationships/hyperlink" Target="https://doi.org/10.1109/icft66708.2025.11336368" TargetMode="External"/><Relationship Id="rId298" Type="http://schemas.openxmlformats.org/officeDocument/2006/relationships/hyperlink" Target="https://doi.org/10.1007/s43926-026-00515-3" TargetMode="External"/><Relationship Id="rId299" Type="http://schemas.openxmlformats.org/officeDocument/2006/relationships/hyperlink" Target="https://doi.org/10.3390/s19010015" TargetMode="External"/><Relationship Id="rId300" Type="http://schemas.openxmlformats.org/officeDocument/2006/relationships/hyperlink" Target="https://doi.org/10.1109/infoteh68759.2026.11477667" TargetMode="External"/><Relationship Id="rId301" Type="http://schemas.openxmlformats.org/officeDocument/2006/relationships/hyperlink" Target="https://doi.org/10.1109/dcoss-iot69657.2026.00013" TargetMode="External"/><Relationship Id="rId302" Type="http://schemas.openxmlformats.org/officeDocument/2006/relationships/hyperlink" Target="https://doi.org/10.1109/bigdatasecurity69476.2026.00014" TargetMode="External"/><Relationship Id="rId303" Type="http://schemas.openxmlformats.org/officeDocument/2006/relationships/hyperlink" Target="https://doi.org/10.63180/jcsra.thestap.2024.1.2" TargetMode="External"/><Relationship Id="rId304" Type="http://schemas.openxmlformats.org/officeDocument/2006/relationships/hyperlink" Target="https://doi.org/10.1088/1742-6596/3191/1/012092" TargetMode="External"/><Relationship Id="rId305" Type="http://schemas.openxmlformats.org/officeDocument/2006/relationships/hyperlink" Target="https://doi.org/10.1109/icassp48485.2024.10446717" TargetMode="External"/><Relationship Id="rId306" Type="http://schemas.openxmlformats.org/officeDocument/2006/relationships/hyperlink" Target="https://doi.org/10.47974/jdmsc-2467" TargetMode="External"/><Relationship Id="rId307" Type="http://schemas.openxmlformats.org/officeDocument/2006/relationships/hyperlink" Target="https://doi.org/10.1109/jiot.2023.3296135" TargetMode="External"/><Relationship Id="rId308" Type="http://schemas.openxmlformats.org/officeDocument/2006/relationships/hyperlink" Target="https://doi.org/10.3390/s26123756" TargetMode="External"/><Relationship Id="rId309" Type="http://schemas.openxmlformats.org/officeDocument/2006/relationships/hyperlink" Target="https://doi.org/10.18280/ijsse.160114" TargetMode="External"/><Relationship Id="rId310" Type="http://schemas.openxmlformats.org/officeDocument/2006/relationships/hyperlink" Target="https://doi.org/10.1109/elnano63396.2026.11601666" TargetMode="External"/><Relationship Id="rId311" Type="http://schemas.openxmlformats.org/officeDocument/2006/relationships/hyperlink" Target="https://doi.org/10.22052/jns.2026.02.039" TargetMode="External"/><Relationship Id="rId312" Type="http://schemas.openxmlformats.org/officeDocument/2006/relationships/hyperlink" Target="https://doi.org/10.1109/iccsai64074.2025.11063770" TargetMode="External"/><Relationship Id="rId313" Type="http://schemas.openxmlformats.org/officeDocument/2006/relationships/hyperlink" Target="https://doi.org/10.1016/j.comcom.2021.02.012" TargetMode="External"/><Relationship Id="rId314" Type="http://schemas.openxmlformats.org/officeDocument/2006/relationships/hyperlink" Target="https://doi.org/10.1109/jsen.2024.3428335" TargetMode="External"/><Relationship Id="rId315" Type="http://schemas.openxmlformats.org/officeDocument/2006/relationships/hyperlink" Target="https://doi.org/10.1109/jiot.2025.3650529" TargetMode="External"/><Relationship Id="rId316" Type="http://schemas.openxmlformats.org/officeDocument/2006/relationships/hyperlink" Target="https://doi.org/10.18280/ijsse.160213" TargetMode="External"/><Relationship Id="rId317" Type="http://schemas.openxmlformats.org/officeDocument/2006/relationships/hyperlink" Target="https://doi.org/10.3390/sym15101886" TargetMode="External"/><Relationship Id="rId318" Type="http://schemas.openxmlformats.org/officeDocument/2006/relationships/hyperlink" Target="https://doi.org/10.1109/sbesc65055.2024.10771922" TargetMode="External"/><Relationship Id="rId319" Type="http://schemas.openxmlformats.org/officeDocument/2006/relationships/hyperlink" Target="https://doi.org/10.1109/icscn67106.2025.11308427" TargetMode="External"/><Relationship Id="rId320" Type="http://schemas.openxmlformats.org/officeDocument/2006/relationships/hyperlink" Target="https://doi.org/10.1016/j.phycom.2023.102043" TargetMode="External"/><Relationship Id="rId321" Type="http://schemas.openxmlformats.org/officeDocument/2006/relationships/hyperlink" Target="https://doi.org/10.1016/j.procs.2026.02.380" TargetMode="External"/><Relationship Id="rId322" Type="http://schemas.openxmlformats.org/officeDocument/2006/relationships/hyperlink" Target="https://doi.org/10.1109/isvlsi61997.2024.00100" TargetMode="External"/><Relationship Id="rId323" Type="http://schemas.openxmlformats.org/officeDocument/2006/relationships/hyperlink" Target="https://doi.org/10.1016/j.eij.2025.100818" TargetMode="External"/><Relationship Id="rId324" Type="http://schemas.openxmlformats.org/officeDocument/2006/relationships/hyperlink" Target="https://doi.org/10.1145/3716368.3735271" TargetMode="External"/><Relationship Id="rId325" Type="http://schemas.openxmlformats.org/officeDocument/2006/relationships/hyperlink" Target="https://doi.org/10.1109/aisummit66170.2025.11411253" TargetMode="External"/><Relationship Id="rId326" Type="http://schemas.openxmlformats.org/officeDocument/2006/relationships/hyperlink" Target="https://doi.org/10.1109/ccncps66785.2025.11135719" TargetMode="External"/><Relationship Id="rId327" Type="http://schemas.openxmlformats.org/officeDocument/2006/relationships/hyperlink" Target="https://doi.org/10.7717/peerj-cs.3899" TargetMode="External"/><Relationship Id="rId328" Type="http://schemas.openxmlformats.org/officeDocument/2006/relationships/hyperlink" Target="https://doi.org/10.1016/j.jisa.2026.104601" TargetMode="External"/><Relationship Id="rId329" Type="http://schemas.openxmlformats.org/officeDocument/2006/relationships/hyperlink" Target="https://doi.org/10.1109/fet68771.2026.11601673" TargetMode="External"/><Relationship Id="rId330" Type="http://schemas.openxmlformats.org/officeDocument/2006/relationships/hyperlink" Target="https://doi.org/10.3390/app15074071" TargetMode="External"/><Relationship Id="rId331" Type="http://schemas.openxmlformats.org/officeDocument/2006/relationships/hyperlink" Target="https://doi.org/10.3390/s21175838" TargetMode="External"/><Relationship Id="rId332" Type="http://schemas.openxmlformats.org/officeDocument/2006/relationships/hyperlink" Target="https://doi.org/10.1007/978-3-032-06671-8_17" TargetMode="External"/><Relationship Id="rId333" Type="http://schemas.openxmlformats.org/officeDocument/2006/relationships/hyperlink" Target="https://doi.org/10.1109/indin51773.2022.9976108" TargetMode="External"/><Relationship Id="rId334" Type="http://schemas.openxmlformats.org/officeDocument/2006/relationships/hyperlink" Target="https://doi.org/10.1109/access.2025.3554010" TargetMode="External"/><Relationship Id="rId335" Type="http://schemas.openxmlformats.org/officeDocument/2006/relationships/hyperlink" Target="https://doi.org/10.1016/j.future.2023.06.008" TargetMode="External"/><Relationship Id="rId336" Type="http://schemas.openxmlformats.org/officeDocument/2006/relationships/hyperlink" Target="https://doi.org/10.1109/access.2024.3457690" TargetMode="External"/><Relationship Id="rId337" Type="http://schemas.openxmlformats.org/officeDocument/2006/relationships/hyperlink" Target="https://doi.org/10.1109/optima67660.2025.11380340" TargetMode="External"/><Relationship Id="rId338" Type="http://schemas.openxmlformats.org/officeDocument/2006/relationships/hyperlink" Target="https://doi.org/10.1109/iceei59426.2023.10346638" TargetMode="External"/><Relationship Id="rId339" Type="http://schemas.openxmlformats.org/officeDocument/2006/relationships/hyperlink" Target="https://doi.org/10.1109/isct66099.2025.11297330" TargetMode="External"/><Relationship Id="rId340" Type="http://schemas.openxmlformats.org/officeDocument/2006/relationships/hyperlink" Target="https://doi.org/10.1109/icwt62080.2024.10674707" TargetMode="External"/><Relationship Id="rId341" Type="http://schemas.openxmlformats.org/officeDocument/2006/relationships/hyperlink" Target="https://doi.org/10.3390/electronics15153350" TargetMode="External"/><Relationship Id="rId342" Type="http://schemas.openxmlformats.org/officeDocument/2006/relationships/hyperlink" Target="https://doi.org/10.1109/tce.2025.3552533" TargetMode="External"/><Relationship Id="rId343" Type="http://schemas.openxmlformats.org/officeDocument/2006/relationships/hyperlink" Target="https://doi.org/10.1038/s41598-026-62561-9" TargetMode="External"/><Relationship Id="rId344" Type="http://schemas.openxmlformats.org/officeDocument/2006/relationships/hyperlink" Target="https://doi.org/10.1109/vtc2024-fall63153.2024.10757594" TargetMode="External"/><Relationship Id="rId345" Type="http://schemas.openxmlformats.org/officeDocument/2006/relationships/hyperlink" Target="https://doi.org/10.1109/milcom64451.2025.11310263" TargetMode="External"/><Relationship Id="rId346" Type="http://schemas.openxmlformats.org/officeDocument/2006/relationships/hyperlink" Target="https://doi.org/10.3390/digital6020035" TargetMode="External"/><Relationship Id="rId347" Type="http://schemas.openxmlformats.org/officeDocument/2006/relationships/hyperlink" Target="https://doi.org/10.1109/inmic65900.2025.11348195" TargetMode="External"/><Relationship Id="rId348" Type="http://schemas.openxmlformats.org/officeDocument/2006/relationships/hyperlink" Target="https://doi.org/10.1109/aiiot58121.2023.10174401" TargetMode="External"/><Relationship Id="rId349" Type="http://schemas.openxmlformats.org/officeDocument/2006/relationships/hyperlink" Target="https://doi.org/10.1109/pimrc56721.2023.10293946" TargetMode="External"/><Relationship Id="rId350" Type="http://schemas.openxmlformats.org/officeDocument/2006/relationships/hyperlink" Target="https://doi.org/10.1038/s41598-025-20017-6" TargetMode="External"/><Relationship Id="rId351" Type="http://schemas.openxmlformats.org/officeDocument/2006/relationships/hyperlink" Target="https://doi.org/10.1109/iisec69317.2026.11418483" TargetMode="External"/><Relationship Id="rId352" Type="http://schemas.openxmlformats.org/officeDocument/2006/relationships/hyperlink" Target="https://doi.org/10.12720/jait.17.2.390-404" TargetMode="External"/><Relationship Id="rId353" Type="http://schemas.openxmlformats.org/officeDocument/2006/relationships/hyperlink" Target="https://doi.org/10.3390/app16125781" TargetMode="External"/><Relationship Id="rId354" Type="http://schemas.openxmlformats.org/officeDocument/2006/relationships/hyperlink" Target="https://doi.org/10.1109/vtc2023-spring57618.2023.10199591" TargetMode="External"/><Relationship Id="rId355" Type="http://schemas.openxmlformats.org/officeDocument/2006/relationships/hyperlink" Target="https://doi.org/10.1145/3748328" TargetMode="External"/><Relationship Id="rId356" Type="http://schemas.openxmlformats.org/officeDocument/2006/relationships/hyperlink" Target="https://doi.org/10.1109/atnt61688.2024.10719294" TargetMode="External"/><Relationship Id="rId357" Type="http://schemas.openxmlformats.org/officeDocument/2006/relationships/hyperlink" Target="https://doi.org/10.1007/s10586-020-03064-8" TargetMode="External"/><Relationship Id="rId358" Type="http://schemas.openxmlformats.org/officeDocument/2006/relationships/hyperlink" Target="https://doi.org/10.48084/etasr.17148" TargetMode="External"/><Relationship Id="rId359" Type="http://schemas.openxmlformats.org/officeDocument/2006/relationships/hyperlink" Target="https://doi.org/10.1007/978-3-032-20533-9_44" TargetMode="External"/><Relationship Id="rId360" Type="http://schemas.openxmlformats.org/officeDocument/2006/relationships/hyperlink" Target="https://doi.org/10.1109/iceei59426.2023.10346711" TargetMode="External"/><Relationship Id="rId361" Type="http://schemas.openxmlformats.org/officeDocument/2006/relationships/hyperlink" Target="https://doi.org/10.1038/s41598-026-36998-x" TargetMode="External"/><Relationship Id="rId362" Type="http://schemas.openxmlformats.org/officeDocument/2006/relationships/hyperlink" Target="https://doi.org/10.48084/etasr.12204" TargetMode="External"/><Relationship Id="rId363" Type="http://schemas.openxmlformats.org/officeDocument/2006/relationships/hyperlink" Target="https://doi.org/10.3390/cryptography10020024" TargetMode="External"/><Relationship Id="rId364" Type="http://schemas.openxmlformats.org/officeDocument/2006/relationships/hyperlink" Target="https://doi.org/10.1007/978-3-030-32388-2_23" TargetMode="External"/><Relationship Id="rId365" Type="http://schemas.openxmlformats.org/officeDocument/2006/relationships/hyperlink" Target="https://doi.org/10.1145/3774906.3800492" TargetMode="External"/><Relationship Id="rId366" Type="http://schemas.openxmlformats.org/officeDocument/2006/relationships/hyperlink" Target="https://doi.org/10.1109/jiot.2026.3670435" TargetMode="External"/><Relationship Id="rId367" Type="http://schemas.openxmlformats.org/officeDocument/2006/relationships/hyperlink" Target="https://doi.org/10.1109/gcaiot68269.2025.11275556" TargetMode="External"/><Relationship Id="rId368" Type="http://schemas.openxmlformats.org/officeDocument/2006/relationships/hyperlink" Target="https://doi.org/10.11591/ijeecs.v36.i1.pp290-301" TargetMode="External"/><Relationship Id="rId369" Type="http://schemas.openxmlformats.org/officeDocument/2006/relationships/hyperlink" Target="https://doi.org/10.1109/icici68773.2026.11580525" TargetMode="External"/><Relationship Id="rId370" Type="http://schemas.openxmlformats.org/officeDocument/2006/relationships/hyperlink" Target="https://doi.org/10.1109/sist61674.2026.11596099" TargetMode="External"/><Relationship Id="rId371" Type="http://schemas.openxmlformats.org/officeDocument/2006/relationships/hyperlink" Target="https://doi.org/10.1109/cits65975.2025.11099413" TargetMode="External"/><Relationship Id="rId372" Type="http://schemas.openxmlformats.org/officeDocument/2006/relationships/hyperlink" Target="https://doi.org/10.1109/atigb70203.2026.11628316" TargetMode="External"/><Relationship Id="rId373" Type="http://schemas.openxmlformats.org/officeDocument/2006/relationships/hyperlink" Target="https://doi.org/10.1109/idaacs68557.2025.11322258" TargetMode="External"/><Relationship Id="rId374" Type="http://schemas.openxmlformats.org/officeDocument/2006/relationships/hyperlink" Target="https://doi.org/10.1109/acet67282.2025.11430274" TargetMode="External"/><Relationship Id="rId375" Type="http://schemas.openxmlformats.org/officeDocument/2006/relationships/hyperlink" Target="https://doi.org/10.1109/siu71813.2026.11636899" TargetMode="External"/><Relationship Id="rId376" Type="http://schemas.openxmlformats.org/officeDocument/2006/relationships/hyperlink" Target="https://doi.org/10.7717/peerj-cs.3715" TargetMode="External"/><Relationship Id="rId377" Type="http://schemas.openxmlformats.org/officeDocument/2006/relationships/hyperlink" Target="https://doi.org/10.1109/ises67504.2025.00087" TargetMode="External"/><Relationship Id="rId378" Type="http://schemas.openxmlformats.org/officeDocument/2006/relationships/hyperlink" Target="https://doi.org/10.1109/ojcoms.2026.3672889" TargetMode="External"/><Relationship Id="rId379" Type="http://schemas.openxmlformats.org/officeDocument/2006/relationships/hyperlink" Target="https://doi.org/10.1109/icidca66325.2025.11280454" TargetMode="External"/><Relationship Id="rId380" Type="http://schemas.openxmlformats.org/officeDocument/2006/relationships/hyperlink" Target="https://doi.org/10.1109/aims66189.2025.11229500" TargetMode="External"/><Relationship Id="rId381" Type="http://schemas.openxmlformats.org/officeDocument/2006/relationships/hyperlink" Target="https://doi.org/10.1109/inmic65900.2025.11348580" TargetMode="External"/><Relationship Id="rId382" Type="http://schemas.openxmlformats.org/officeDocument/2006/relationships/hyperlink" Target="https://doi.org/10.47974/jdmsc-2558" TargetMode="External"/><Relationship Id="rId383" Type="http://schemas.openxmlformats.org/officeDocument/2006/relationships/hyperlink" Target="https://doi.org/10.1109/tce.2025.3645059" TargetMode="External"/><Relationship Id="rId384" Type="http://schemas.openxmlformats.org/officeDocument/2006/relationships/hyperlink" Target="https://doi.org/10.1109/jiot.2026.3684991" TargetMode="External"/><Relationship Id="rId385" Type="http://schemas.openxmlformats.org/officeDocument/2006/relationships/hyperlink" Target="https://doi.org/10.52549/ijeei.v13i1.6021" TargetMode="External"/><Relationship Id="rId386" Type="http://schemas.openxmlformats.org/officeDocument/2006/relationships/hyperlink" Target="https://doi.org/10.1371/journal.pone.0355179" TargetMode="External"/><Relationship Id="rId387" Type="http://schemas.openxmlformats.org/officeDocument/2006/relationships/hyperlink" Target="https://doi.org/10.1088/2631-8695/ae05ea" TargetMode="External"/><Relationship Id="rId388" Type="http://schemas.openxmlformats.org/officeDocument/2006/relationships/hyperlink" Target="https://doi.org/10.1007/s11227-025-07448-8" TargetMode="External"/><Relationship Id="rId389" Type="http://schemas.openxmlformats.org/officeDocument/2006/relationships/hyperlink" Target="https://doi.org/10.26636/jtit.2026.2.2545" TargetMode="External"/><Relationship Id="rId390" Type="http://schemas.openxmlformats.org/officeDocument/2006/relationships/hyperlink" Target="https://doi.org/10.1109/csitss64042.2024.10817029" TargetMode="External"/><Relationship Id="rId391" Type="http://schemas.openxmlformats.org/officeDocument/2006/relationships/hyperlink" Target="https://doi.org/10.1016/j.phycom.2026.103271" TargetMode="External"/><Relationship Id="rId392" Type="http://schemas.openxmlformats.org/officeDocument/2006/relationships/hyperlink" Target="https://doi.org/10.1109/icocics68032.2025.11383867" TargetMode="External"/><Relationship Id="rId393" Type="http://schemas.openxmlformats.org/officeDocument/2006/relationships/hyperlink" Target="https://doi.org/10.3390/iot7010021" TargetMode="External"/><Relationship Id="rId394" Type="http://schemas.openxmlformats.org/officeDocument/2006/relationships/hyperlink" Target="https://doi.org/10.1016/j.comcom.2022.04.027" TargetMode="External"/><Relationship Id="rId395" Type="http://schemas.openxmlformats.org/officeDocument/2006/relationships/hyperlink" Target="https://doi.org/10.1109/access.2026.3682631" TargetMode="External"/><Relationship Id="rId396" Type="http://schemas.openxmlformats.org/officeDocument/2006/relationships/hyperlink" Target="https://doi.org/10.3390/math10193421" TargetMode="External"/><Relationship Id="rId397" Type="http://schemas.openxmlformats.org/officeDocument/2006/relationships/hyperlink" Target="https://doi.org/10.1016/j.iot.2025.101855" TargetMode="External"/><Relationship Id="rId398" Type="http://schemas.openxmlformats.org/officeDocument/2006/relationships/hyperlink" Target="https://doi.org/10.1109/sist61674.2026.11596207" TargetMode="External"/><Relationship Id="rId399" Type="http://schemas.openxmlformats.org/officeDocument/2006/relationships/hyperlink" Target="https://doi.org/10.1063/5.0322488" TargetMode="External"/><Relationship Id="rId400" Type="http://schemas.openxmlformats.org/officeDocument/2006/relationships/hyperlink" Target="https://doi.org/10.1007/s10796-023-10383-9" TargetMode="External"/><Relationship Id="rId401" Type="http://schemas.openxmlformats.org/officeDocument/2006/relationships/hyperlink" Target="https://doi.org/10.1016/j.pmcj.2026.102272" TargetMode="External"/><Relationship Id="rId402" Type="http://schemas.openxmlformats.org/officeDocument/2006/relationships/hyperlink" Target="https://doi.org/10.1038/s41598-025-21861-2" TargetMode="External"/><Relationship Id="rId403" Type="http://schemas.openxmlformats.org/officeDocument/2006/relationships/hyperlink" Target="https://doi.org/10.1016/j.iot.2024.101389" TargetMode="External"/><Relationship Id="rId404" Type="http://schemas.openxmlformats.org/officeDocument/2006/relationships/hyperlink" Target="https://doi.org/10.1109/access.2025.3605060" TargetMode="External"/><Relationship Id="rId405" Type="http://schemas.openxmlformats.org/officeDocument/2006/relationships/hyperlink" Target="https://doi.org/10.5220/0013508400003979" TargetMode="External"/><Relationship Id="rId406" Type="http://schemas.openxmlformats.org/officeDocument/2006/relationships/hyperlink" Target="https://doi.org/10.1109/icc59461.2026.11587750" TargetMode="External"/><Relationship Id="rId407" Type="http://schemas.openxmlformats.org/officeDocument/2006/relationships/hyperlink" Target="https://doi.org/10.1007/978-3-031-87784-1_15" TargetMode="External"/><Relationship Id="rId408" Type="http://schemas.openxmlformats.org/officeDocument/2006/relationships/hyperlink" Target="https://doi.org/10.1109/smartcomp.2019.00057" TargetMode="External"/><Relationship Id="rId409" Type="http://schemas.openxmlformats.org/officeDocument/2006/relationships/hyperlink" Target="https://doi.org/10.1049/smc2.70040" TargetMode="External"/><Relationship Id="rId410" Type="http://schemas.openxmlformats.org/officeDocument/2006/relationships/hyperlink" Target="https://doi.org/10.1109/iaict71158.2026.11620842" TargetMode="External"/><Relationship Id="rId411" Type="http://schemas.openxmlformats.org/officeDocument/2006/relationships/hyperlink" Target="https://doi.org/10.3390/jimaging12090442" TargetMode="External"/><Relationship Id="rId412" Type="http://schemas.openxmlformats.org/officeDocument/2006/relationships/hyperlink" Target="https://doi.org/10.3390/math14152800" TargetMode="External"/><Relationship Id="rId413" Type="http://schemas.openxmlformats.org/officeDocument/2006/relationships/hyperlink" Target="https://doi.org/10.1109/aide69088.2026.11544415" TargetMode="External"/><Relationship Id="rId414" Type="http://schemas.openxmlformats.org/officeDocument/2006/relationships/hyperlink" Target="https://doi.org/10.1007/978-3-031-19663-8" TargetMode="External"/><Relationship Id="rId415" Type="http://schemas.openxmlformats.org/officeDocument/2006/relationships/hyperlink" Target="https://doi.org/10.1109/iscaie68866.2026.11576489" TargetMode="External"/><Relationship Id="rId416" Type="http://schemas.openxmlformats.org/officeDocument/2006/relationships/hyperlink" Target="https://doi.org/10.1109/les.2026.3694966" TargetMode="External"/><Relationship Id="rId417" Type="http://schemas.openxmlformats.org/officeDocument/2006/relationships/hyperlink" Target="https://doi.org/10.1109/healthcom60970.2024.10880820" TargetMode="External"/><Relationship Id="rId418" Type="http://schemas.openxmlformats.org/officeDocument/2006/relationships/hyperlink" Target="https://doi.org/10.17586/2226-1494-2025-25-5-923-932" TargetMode="External"/><Relationship Id="rId419" Type="http://schemas.openxmlformats.org/officeDocument/2006/relationships/hyperlink" Target="https://doi.org/10.5220/0012764800003767" TargetMode="External"/><Relationship Id="rId420" Type="http://schemas.openxmlformats.org/officeDocument/2006/relationships/hyperlink" Target="https://doi.org/10.1109/icces67310.2025.11336308" TargetMode="External"/><Relationship Id="rId421" Type="http://schemas.openxmlformats.org/officeDocument/2006/relationships/hyperlink" Target="https://doi.org/10.52866/2788-7421.1287" TargetMode="External"/><Relationship Id="rId422" Type="http://schemas.openxmlformats.org/officeDocument/2006/relationships/hyperlink" Target="https://doi.org/10.1109/icdv66179.2025.11134863" TargetMode="External"/><Relationship Id="rId423" Type="http://schemas.openxmlformats.org/officeDocument/2006/relationships/hyperlink" Target="https://doi.org/10.1109/naecon65708.2025.11235342" TargetMode="External"/><Relationship Id="rId424" Type="http://schemas.openxmlformats.org/officeDocument/2006/relationships/hyperlink" Target="https://doi.org/10.1109/cicn67655.2025.11368088" TargetMode="External"/><Relationship Id="rId425" Type="http://schemas.openxmlformats.org/officeDocument/2006/relationships/hyperlink" Target="https://doi.org/10.3390/network4030013" TargetMode="External"/><Relationship Id="rId426" Type="http://schemas.openxmlformats.org/officeDocument/2006/relationships/hyperlink" Target="https://doi.org/10.1201/9781003753377-39" TargetMode="External"/><Relationship Id="rId427" Type="http://schemas.openxmlformats.org/officeDocument/2006/relationships/hyperlink" Target="https://doi.org/10.1109/jiot.2026.3678187" TargetMode="External"/><Relationship Id="rId428" Type="http://schemas.openxmlformats.org/officeDocument/2006/relationships/hyperlink" Target="https://doi.org/10.1109/icecet65726.2026.11632553" TargetMode="External"/><Relationship Id="rId429" Type="http://schemas.openxmlformats.org/officeDocument/2006/relationships/hyperlink" Target="https://doi.org/10.46586/tches.v2021.i3.756-779" TargetMode="External"/><Relationship Id="rId430" Type="http://schemas.openxmlformats.org/officeDocument/2006/relationships/hyperlink" Target="https://doi.org/10.1145/3773274.3774927" TargetMode="External"/><Relationship Id="rId431" Type="http://schemas.openxmlformats.org/officeDocument/2006/relationships/hyperlink" Target="https://doi.org/10.1109/jiot.2024.3503906" TargetMode="External"/><Relationship Id="rId432" Type="http://schemas.openxmlformats.org/officeDocument/2006/relationships/hyperlink" Target="https://doi.org/10.5220/0012112700003555" TargetMode="External"/><Relationship Id="rId433" Type="http://schemas.openxmlformats.org/officeDocument/2006/relationships/hyperlink" Target="https://doi.org/10.3390/s25165103" TargetMode="External"/><Relationship Id="rId434" Type="http://schemas.openxmlformats.org/officeDocument/2006/relationships/hyperlink" Target="https://doi.org/10.19363/j.cnki.cn10-1380/tn.2022.03.04" TargetMode="External"/><Relationship Id="rId435" Type="http://schemas.openxmlformats.org/officeDocument/2006/relationships/hyperlink" Target="https://doi.org/10.1002/9781394261833.ch6" TargetMode="External"/><Relationship Id="rId436" Type="http://schemas.openxmlformats.org/officeDocument/2006/relationships/hyperlink" Target="https://doi.org/10.1002/eng2.70293" TargetMode="External"/><Relationship Id="rId437" Type="http://schemas.openxmlformats.org/officeDocument/2006/relationships/hyperlink" Target="https://doi.org/10.1109/icoin56518.2023.10048959" TargetMode="External"/><Relationship Id="rId438" Type="http://schemas.openxmlformats.org/officeDocument/2006/relationships/hyperlink" Target="https://doi.org/10.1109/usbereit51232.2021.9455037" TargetMode="External"/><Relationship Id="rId439" Type="http://schemas.openxmlformats.org/officeDocument/2006/relationships/hyperlink" Target="https://doi.org/10.3390/s26185847" TargetMode="External"/><Relationship Id="rId440" Type="http://schemas.openxmlformats.org/officeDocument/2006/relationships/hyperlink" Target="https://doi.org/10.1007/978-3-032-16995-2_30" TargetMode="External"/><Relationship Id="rId441" Type="http://schemas.openxmlformats.org/officeDocument/2006/relationships/hyperlink" Target="https://doi.org/10.1007/978-3-032-18415-3_9" TargetMode="External"/><Relationship Id="rId442" Type="http://schemas.openxmlformats.org/officeDocument/2006/relationships/hyperlink" Target="https://doi.org/10.48084/etasr.16985" TargetMode="External"/><Relationship Id="rId443" Type="http://schemas.openxmlformats.org/officeDocument/2006/relationships/hyperlink" Target="https://doi.org/10.1002/cta.70489" TargetMode="External"/><Relationship Id="rId444" Type="http://schemas.openxmlformats.org/officeDocument/2006/relationships/hyperlink" Target="https://doi.org/10.1109/icbase70763.2026.11619478" TargetMode="External"/><Relationship Id="rId445" Type="http://schemas.openxmlformats.org/officeDocument/2006/relationships/hyperlink" Target="https://doi.org/10.1109/ccnc65079.2026.11366429" TargetMode="External"/><Relationship Id="rId446" Type="http://schemas.openxmlformats.org/officeDocument/2006/relationships/hyperlink" Target="https://doi.org/10.1109/wf-iot.2019.8767250" TargetMode="External"/><Relationship Id="rId447" Type="http://schemas.openxmlformats.org/officeDocument/2006/relationships/hyperlink" Target="https://doi.org/10.14569/ijacsa.2025.0160273" TargetMode="External"/><Relationship Id="rId448" Type="http://schemas.openxmlformats.org/officeDocument/2006/relationships/hyperlink" Target="https://doi.org/10.1145/3680207.3765699" TargetMode="External"/><Relationship Id="rId449" Type="http://schemas.openxmlformats.org/officeDocument/2006/relationships/hyperlink" Target="https://doi.org/10.1109/iconscept66142.2025.11437126" TargetMode="External"/><Relationship Id="rId450" Type="http://schemas.openxmlformats.org/officeDocument/2006/relationships/hyperlink" Target="https://doi.org/10.1109/jiot.2026.3702969" TargetMode="External"/><Relationship Id="rId451" Type="http://schemas.openxmlformats.org/officeDocument/2006/relationships/hyperlink" Target="https://doi.org/10.3390/sci7030091" TargetMode="External"/><Relationship Id="rId452" Type="http://schemas.openxmlformats.org/officeDocument/2006/relationships/hyperlink" Target="https://doi.org/10.1109/aiiot68874.2026.11569587" TargetMode="External"/><Relationship Id="rId453" Type="http://schemas.openxmlformats.org/officeDocument/2006/relationships/hyperlink" Target="https://doi.org/10.22266/ijies2026.0930.50" TargetMode="External"/><Relationship Id="rId454" Type="http://schemas.openxmlformats.org/officeDocument/2006/relationships/hyperlink" Target="https://doi.org/10.1109/icera72709.2026.11666653" TargetMode="External"/><Relationship Id="rId455" Type="http://schemas.openxmlformats.org/officeDocument/2006/relationships/hyperlink" Target="https://doi.org/10.1007/978-3-032-22114-8_41" TargetMode="External"/><Relationship Id="rId456" Type="http://schemas.openxmlformats.org/officeDocument/2006/relationships/hyperlink" Target="https://doi.org/10.1109/icdm68174.2025.11309679" TargetMode="External"/><Relationship Id="rId457" Type="http://schemas.openxmlformats.org/officeDocument/2006/relationships/hyperlink" Target="https://doi.org/10.14569/ijacsa.2025.0160989" TargetMode="External"/><Relationship Id="rId458" Type="http://schemas.openxmlformats.org/officeDocument/2006/relationships/hyperlink" Target="https://doi.org/10.3844/jcssp.2026.185.201" TargetMode="External"/><Relationship Id="rId459" Type="http://schemas.openxmlformats.org/officeDocument/2006/relationships/hyperlink" Target="https://doi.org/10.1109/satc69565.2026.11542264" TargetMode="External"/><Relationship Id="rId460" Type="http://schemas.openxmlformats.org/officeDocument/2006/relationships/hyperlink" Target="https://doi.org/10.1016/j.jisa.2026.104539" TargetMode="External"/><Relationship Id="rId461" Type="http://schemas.openxmlformats.org/officeDocument/2006/relationships/hyperlink" Target="https://doi.org/10.1016/j.jestch.2025.102108" TargetMode="External"/><Relationship Id="rId462" Type="http://schemas.openxmlformats.org/officeDocument/2006/relationships/hyperlink" Target="https://doi.org/10.18517/ijaseit.12.2.8601" TargetMode="External"/><Relationship Id="rId463" Type="http://schemas.openxmlformats.org/officeDocument/2006/relationships/hyperlink" Target="https://doi.org/10.1109/giest66547.2025.11387598" TargetMode="External"/><Relationship Id="rId464" Type="http://schemas.openxmlformats.org/officeDocument/2006/relationships/hyperlink" Target="https://doi.org/10.1109/icads69450.2026.11545478" TargetMode="External"/><Relationship Id="rId465" Type="http://schemas.openxmlformats.org/officeDocument/2006/relationships/hyperlink" Target="https://doi.org/10.1109/icoiact67584.2025.11344930" TargetMode="External"/><Relationship Id="rId466" Type="http://schemas.openxmlformats.org/officeDocument/2006/relationships/hyperlink" Target="https://doi.org/10.3390/s26061752" TargetMode="External"/><Relationship Id="rId467" Type="http://schemas.openxmlformats.org/officeDocument/2006/relationships/hyperlink" Target="https://doi.org/10.1109/ccece68150.2026.11610010" TargetMode="External"/><Relationship Id="rId468" Type="http://schemas.openxmlformats.org/officeDocument/2006/relationships/hyperlink" Target="https://doi.org/10.1016/j.compeleceng.2026.111143" TargetMode="External"/><Relationship Id="rId469" Type="http://schemas.openxmlformats.org/officeDocument/2006/relationships/hyperlink" Target="https://doi.org/10.23919/mixdes66264.2025.11092059" TargetMode="External"/><Relationship Id="rId470"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doi.org/10.3390/electronics13061055" TargetMode="External"/><Relationship Id="rId2" Type="http://schemas.openxmlformats.org/officeDocument/2006/relationships/hyperlink" Target="https://doi.org/10.1109/icecie66637.2025.11363862" TargetMode="External"/><Relationship Id="rId3" Type="http://schemas.openxmlformats.org/officeDocument/2006/relationships/hyperlink" Target="https://doi.org/10.3390/s26185839" TargetMode="External"/><Relationship Id="rId4" Type="http://schemas.openxmlformats.org/officeDocument/2006/relationships/hyperlink" Target="https://doi.org/10.1049/cmu2.70221" TargetMode="External"/><Relationship Id="rId5" Type="http://schemas.openxmlformats.org/officeDocument/2006/relationships/hyperlink" Target="https://doi.org/10.1109/access.2017.2755858" TargetMode="External"/><Relationship Id="rId6" Type="http://schemas.openxmlformats.org/officeDocument/2006/relationships/hyperlink" Target="https://doi.org/10.1016/j.future.2022.05.028" TargetMode="External"/><Relationship Id="rId7" Type="http://schemas.openxmlformats.org/officeDocument/2006/relationships/hyperlink" Target="https://doi.org/10.3390/fi15110366" TargetMode="External"/><Relationship Id="rId8" Type="http://schemas.openxmlformats.org/officeDocument/2006/relationships/hyperlink" Target="https://doi.org/10.1109/itnac62915.2024.10815298" TargetMode="External"/><Relationship Id="rId9" Type="http://schemas.openxmlformats.org/officeDocument/2006/relationships/hyperlink" Target="https://doi.org/10.1109/icoin63865.2025.10992870" TargetMode="External"/><Relationship Id="rId10" Type="http://schemas.openxmlformats.org/officeDocument/2006/relationships/hyperlink" Target="https://doi.org/10.1109/wowmom.2018.8449743" TargetMode="External"/><Relationship Id="rId11" Type="http://schemas.openxmlformats.org/officeDocument/2006/relationships/hyperlink" Target="https://doi.org/10.1109/access.2022.3217215" TargetMode="External"/><Relationship Id="rId12" Type="http://schemas.openxmlformats.org/officeDocument/2006/relationships/hyperlink" Target="https://doi.org/10.1109/jiot.2023.3281941" TargetMode="External"/><Relationship Id="rId13" Type="http://schemas.openxmlformats.org/officeDocument/2006/relationships/hyperlink" Target="https://doi.org/10.1109/access.2024.3443605" TargetMode="External"/><Relationship Id="rId14" Type="http://schemas.openxmlformats.org/officeDocument/2006/relationships/hyperlink" Target="https://doi.org/10.3390/s25196036" TargetMode="External"/><Relationship Id="rId15" Type="http://schemas.openxmlformats.org/officeDocument/2006/relationships/hyperlink" Target="https://doi.org/10.1016/j.softx.2026.102570" TargetMode="External"/><Relationship Id="rId16" Type="http://schemas.openxmlformats.org/officeDocument/2006/relationships/hyperlink" Target="https://doi.org/10.1109/meditcom67211.2026.11641097" TargetMode="External"/><Relationship Id="rId17" Type="http://schemas.openxmlformats.org/officeDocument/2006/relationships/hyperlink" Target="https://doi.org/10.1109/access.2024.3494038" TargetMode="External"/><Relationship Id="rId18" Type="http://schemas.openxmlformats.org/officeDocument/2006/relationships/hyperlink" Target="https://doi.org/10.1109/mcom.001.2000053" TargetMode="External"/><Relationship Id="rId19" Type="http://schemas.openxmlformats.org/officeDocument/2006/relationships/hyperlink" Target="https://doi.org/10.11591/ijeecs.v34.i2.pp960-969" TargetMode="External"/><Relationship Id="rId20" Type="http://schemas.openxmlformats.org/officeDocument/2006/relationships/hyperlink" Target="https://doi.org/10.1145/3638241" TargetMode="External"/><Relationship Id="rId21" Type="http://schemas.openxmlformats.org/officeDocument/2006/relationships/hyperlink" Target="https://doi.org/10.1109/ecai69016.2026.11613664" TargetMode="External"/><Relationship Id="rId22" Type="http://schemas.openxmlformats.org/officeDocument/2006/relationships/hyperlink" Target="https://doi.org/10.1007/978-3-030-61746-2_17" TargetMode="External"/><Relationship Id="rId23" Type="http://schemas.openxmlformats.org/officeDocument/2006/relationships/hyperlink" Target="https://doi.org/10.1109/naecon65708.2025.11235480" TargetMode="External"/><Relationship Id="rId24" Type="http://schemas.openxmlformats.org/officeDocument/2006/relationships/hyperlink" Target="https://doi.org/10.1109/imcet69180.2026.11503782" TargetMode="External"/><Relationship Id="rId25" Type="http://schemas.openxmlformats.org/officeDocument/2006/relationships/hyperlink" Target="https://doi.org/10.1109/jiot.2026.3675915" TargetMode="External"/><Relationship Id="rId26" Type="http://schemas.openxmlformats.org/officeDocument/2006/relationships/hyperlink" Target="https://doi.org/10.1145/3819836.3819848" TargetMode="External"/><Relationship Id="rId27" Type="http://schemas.openxmlformats.org/officeDocument/2006/relationships/hyperlink" Target="https://doi.org/10.3390/s19010015" TargetMode="External"/><Relationship Id="rId28" Type="http://schemas.openxmlformats.org/officeDocument/2006/relationships/hyperlink" Target="https://doi.org/10.1109/sbesc68008.2025.11288889" TargetMode="External"/><Relationship Id="rId29" Type="http://schemas.openxmlformats.org/officeDocument/2006/relationships/hyperlink" Target="https://doi.org/10.5194/isprs-archives-xlviii-4-w16-2025-105-2025" TargetMode="External"/><Relationship Id="rId30" Type="http://schemas.openxmlformats.org/officeDocument/2006/relationships/hyperlink" Target="https://doi.org/10.1016/j.eij.2025.100818" TargetMode="External"/><Relationship Id="rId31" Type="http://schemas.openxmlformats.org/officeDocument/2006/relationships/hyperlink" Target="https://doi.org/10.3390/app15074071" TargetMode="External"/><Relationship Id="rId32" Type="http://schemas.openxmlformats.org/officeDocument/2006/relationships/hyperlink" Target="https://doi.org/10.1109/icadeis52521.2021.9702081" TargetMode="External"/><Relationship Id="rId33" Type="http://schemas.openxmlformats.org/officeDocument/2006/relationships/hyperlink" Target="https://doi.org/10.1109/indin51773.2022.9976108" TargetMode="External"/><Relationship Id="rId34" Type="http://schemas.openxmlformats.org/officeDocument/2006/relationships/hyperlink" Target="https://doi.org/10.1109/aiiot58121.2023.10174401" TargetMode="External"/><Relationship Id="rId35" Type="http://schemas.openxmlformats.org/officeDocument/2006/relationships/hyperlink" Target="https://doi.org/10.1109/icft66708.2025.11336368" TargetMode="External"/><Relationship Id="rId36" Type="http://schemas.openxmlformats.org/officeDocument/2006/relationships/hyperlink" Target="https://doi.org/10.1109/isct66099.2025.11297330" TargetMode="External"/><Relationship Id="rId37" Type="http://schemas.openxmlformats.org/officeDocument/2006/relationships/hyperlink" Target="https://doi.org/10.17586/2226-1494-2025-25-5-923-932" TargetMode="External"/><Relationship Id="rId38" Type="http://schemas.openxmlformats.org/officeDocument/2006/relationships/hyperlink" Target="https://doi.org/10.1063/5.0322488" TargetMode="External"/><Relationship Id="rId39" Type="http://schemas.openxmlformats.org/officeDocument/2006/relationships/hyperlink" Target="https://doi.org/10.1109/giots.2018.8534575" TargetMode="External"/><Relationship Id="rId40" Type="http://schemas.openxmlformats.org/officeDocument/2006/relationships/hyperlink" Target="https://doi.org/10.1109/cits65975.2025.11099413" TargetMode="External"/><Relationship Id="rId41" Type="http://schemas.openxmlformats.org/officeDocument/2006/relationships/hyperlink" Target="https://doi.org/10.5220/0013508400003979" TargetMode="External"/><Relationship Id="rId42" Type="http://schemas.openxmlformats.org/officeDocument/2006/relationships/hyperlink" Target="https://doi.org/10.1109/blackseacom69760.2026.11598536" TargetMode="External"/><Relationship Id="rId43" Type="http://schemas.openxmlformats.org/officeDocument/2006/relationships/hyperlink" Target="https://doi.org/10.1371/journal.pone.0355179" TargetMode="External"/><Relationship Id="rId44" Type="http://schemas.openxmlformats.org/officeDocument/2006/relationships/hyperlink" Target="https://doi.org/10.1109/jiot.2025.3649316" TargetMode="External"/><Relationship Id="rId4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1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3" t="s">
        <v>15</v>
      </c>
    </row>
    <row r="22" customFormat="false" ht="15" hidden="false" customHeight="false" outlineLevel="0" collapsed="false">
      <c r="A22" s="2" t="s">
        <v>16</v>
      </c>
    </row>
    <row r="23" customFormat="false" ht="15" hidden="false" customHeight="false" outlineLevel="0" collapsed="false">
      <c r="A23" s="2" t="s">
        <v>17</v>
      </c>
    </row>
    <row r="24" customFormat="false" ht="15" hidden="false" customHeight="false" outlineLevel="0" collapsed="false">
      <c r="A24" s="2" t="s">
        <v>18</v>
      </c>
    </row>
    <row r="25" customFormat="false" ht="15" hidden="false" customHeight="false" outlineLevel="0" collapsed="false">
      <c r="A25" s="2" t="s">
        <v>19</v>
      </c>
    </row>
    <row r="26" customFormat="false" ht="15" hidden="false" customHeight="false" outlineLevel="0" collapsed="false">
      <c r="A26" s="2" t="s">
        <v>20</v>
      </c>
    </row>
    <row r="27" customFormat="false" ht="15" hidden="false" customHeight="false" outlineLevel="0" collapsed="false">
      <c r="A27" s="2"/>
    </row>
    <row r="28" customFormat="false" ht="23.85" hidden="false" customHeight="false" outlineLevel="0" collapsed="false">
      <c r="A28"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0"/>
    <col collapsed="false" customWidth="true" hidden="false" outlineLevel="0" max="4" min="4" style="0" width="30"/>
    <col collapsed="false" customWidth="true" hidden="false" outlineLevel="0" max="5" min="5" style="0" width="80"/>
    <col collapsed="false" customWidth="true" hidden="false" outlineLevel="0" max="6" min="6" style="0" width="12"/>
    <col collapsed="false" customWidth="true" hidden="false" outlineLevel="0" max="7" min="7" style="0" width="10"/>
    <col collapsed="false" customWidth="true" hidden="false" outlineLevel="0" max="8" min="8" style="0" width="40"/>
  </cols>
  <sheetData>
    <row r="1" customFormat="false" ht="15" hidden="false" customHeight="false" outlineLevel="0" collapsed="false">
      <c r="A1" s="4" t="s">
        <v>22</v>
      </c>
      <c r="B1" s="4" t="s">
        <v>23</v>
      </c>
      <c r="C1" s="4" t="s">
        <v>24</v>
      </c>
      <c r="D1" s="4" t="s">
        <v>25</v>
      </c>
      <c r="E1" s="4" t="s">
        <v>26</v>
      </c>
      <c r="F1" s="4" t="s">
        <v>27</v>
      </c>
      <c r="G1" s="4" t="s">
        <v>28</v>
      </c>
      <c r="H1" s="4" t="s">
        <v>29</v>
      </c>
    </row>
    <row r="2" customFormat="false" ht="23.85" hidden="false" customHeight="false" outlineLevel="0" collapsed="false">
      <c r="A2" s="5" t="s">
        <v>30</v>
      </c>
      <c r="B2" s="5" t="s">
        <v>31</v>
      </c>
      <c r="C2" s="5" t="s">
        <v>32</v>
      </c>
      <c r="D2" s="5" t="s">
        <v>33</v>
      </c>
      <c r="E2" s="5" t="s">
        <v>34</v>
      </c>
      <c r="F2" s="5" t="s">
        <v>35</v>
      </c>
      <c r="G2" s="5" t="n">
        <v>219</v>
      </c>
      <c r="H2" s="5" t="s">
        <v>36</v>
      </c>
    </row>
    <row r="3" customFormat="false" ht="35.05" hidden="false" customHeight="false" outlineLevel="0" collapsed="false">
      <c r="A3" s="5" t="s">
        <v>37</v>
      </c>
      <c r="B3" s="5" t="s">
        <v>31</v>
      </c>
      <c r="C3" s="5" t="s">
        <v>32</v>
      </c>
      <c r="D3" s="5" t="s">
        <v>38</v>
      </c>
      <c r="E3" s="5" t="s">
        <v>39</v>
      </c>
      <c r="F3" s="5" t="s">
        <v>35</v>
      </c>
      <c r="G3" s="5" t="n">
        <v>103</v>
      </c>
      <c r="H3" s="5" t="s">
        <v>36</v>
      </c>
    </row>
    <row r="4" customFormat="false" ht="46.25" hidden="false" customHeight="false" outlineLevel="0" collapsed="false">
      <c r="A4" s="5" t="s">
        <v>40</v>
      </c>
      <c r="B4" s="5" t="s">
        <v>31</v>
      </c>
      <c r="C4" s="5" t="s">
        <v>32</v>
      </c>
      <c r="D4" s="5" t="s">
        <v>41</v>
      </c>
      <c r="E4" s="5" t="s">
        <v>42</v>
      </c>
      <c r="F4" s="5" t="s">
        <v>35</v>
      </c>
      <c r="G4" s="5" t="n">
        <v>1156</v>
      </c>
      <c r="H4" s="5" t="s">
        <v>43</v>
      </c>
    </row>
    <row r="5" customFormat="false" ht="57.45" hidden="false" customHeight="false" outlineLevel="0" collapsed="false">
      <c r="A5" s="5" t="s">
        <v>44</v>
      </c>
      <c r="B5" s="5" t="s">
        <v>31</v>
      </c>
      <c r="C5" s="5" t="s">
        <v>32</v>
      </c>
      <c r="D5" s="5" t="s">
        <v>41</v>
      </c>
      <c r="E5" s="5" t="s">
        <v>45</v>
      </c>
      <c r="F5" s="5" t="s">
        <v>35</v>
      </c>
      <c r="G5" s="5" t="n">
        <v>212</v>
      </c>
      <c r="H5" s="5" t="s">
        <v>36</v>
      </c>
    </row>
    <row r="6" customFormat="false" ht="23.85" hidden="false" customHeight="false" outlineLevel="0" collapsed="false">
      <c r="A6" s="5" t="s">
        <v>46</v>
      </c>
      <c r="B6" s="5" t="s">
        <v>31</v>
      </c>
      <c r="C6" s="5" t="s">
        <v>47</v>
      </c>
      <c r="D6" s="5" t="s">
        <v>48</v>
      </c>
      <c r="E6" s="5" t="s">
        <v>49</v>
      </c>
      <c r="F6" s="5" t="s">
        <v>50</v>
      </c>
      <c r="G6" s="5"/>
      <c r="H6" s="5"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0"/>
    <col collapsed="false" customWidth="true" hidden="false" outlineLevel="0" max="3" min="3" style="0" width="60"/>
  </cols>
  <sheetData>
    <row r="1" customFormat="false" ht="15" hidden="false" customHeight="false" outlineLevel="0" collapsed="false">
      <c r="A1" s="4" t="s">
        <v>52</v>
      </c>
      <c r="B1" s="4" t="s">
        <v>53</v>
      </c>
      <c r="C1" s="4" t="s">
        <v>54</v>
      </c>
    </row>
    <row r="2" customFormat="false" ht="15" hidden="false" customHeight="false" outlineLevel="0" collapsed="false">
      <c r="A2" s="5" t="s">
        <v>55</v>
      </c>
      <c r="B2" s="5" t="s">
        <v>56</v>
      </c>
      <c r="C2" s="5" t="s">
        <v>57</v>
      </c>
    </row>
    <row r="3" customFormat="false" ht="15" hidden="false" customHeight="false" outlineLevel="0" collapsed="false">
      <c r="A3" s="5" t="s">
        <v>58</v>
      </c>
      <c r="B3" s="5" t="s">
        <v>59</v>
      </c>
      <c r="C3" s="5" t="s">
        <v>60</v>
      </c>
    </row>
    <row r="4" customFormat="false" ht="15" hidden="false" customHeight="false" outlineLevel="0" collapsed="false">
      <c r="A4" s="5" t="s">
        <v>61</v>
      </c>
      <c r="B4" s="5" t="s">
        <v>62</v>
      </c>
      <c r="C4" s="5" t="s">
        <v>63</v>
      </c>
    </row>
    <row r="5" customFormat="false" ht="15" hidden="false" customHeight="false" outlineLevel="0" collapsed="false">
      <c r="A5" s="5" t="s">
        <v>64</v>
      </c>
      <c r="B5" s="5" t="s">
        <v>65</v>
      </c>
      <c r="C5" s="5" t="s">
        <v>66</v>
      </c>
    </row>
    <row r="6" customFormat="false" ht="23.85" hidden="false" customHeight="false" outlineLevel="0" collapsed="false">
      <c r="A6" s="5" t="s">
        <v>67</v>
      </c>
      <c r="B6" s="5" t="s">
        <v>68</v>
      </c>
      <c r="C6" s="5" t="s">
        <v>69</v>
      </c>
    </row>
    <row r="7" customFormat="false" ht="15" hidden="false" customHeight="false" outlineLevel="0" collapsed="false">
      <c r="A7" s="5" t="s">
        <v>70</v>
      </c>
      <c r="B7" s="5" t="s">
        <v>71</v>
      </c>
      <c r="C7" s="5" t="s">
        <v>72</v>
      </c>
    </row>
    <row r="9" customFormat="false" ht="15" hidden="false" customHeight="false" outlineLevel="0" collapsed="false">
      <c r="A9" s="6" t="s">
        <v>52</v>
      </c>
      <c r="B9" s="6" t="s">
        <v>73</v>
      </c>
      <c r="C9" s="6" t="s">
        <v>74</v>
      </c>
    </row>
    <row r="10" customFormat="false" ht="15" hidden="false" customHeight="false" outlineLevel="0" collapsed="false">
      <c r="A10" s="7" t="s">
        <v>75</v>
      </c>
      <c r="B10" s="2" t="s">
        <v>76</v>
      </c>
      <c r="C10" s="7" t="n">
        <f aca="false">COUNTIF(Screening!$O$2:$O$510,A10)</f>
        <v>5</v>
      </c>
    </row>
    <row r="11" customFormat="false" ht="15" hidden="false" customHeight="false" outlineLevel="0" collapsed="false">
      <c r="A11" s="7" t="s">
        <v>77</v>
      </c>
      <c r="B11" s="2" t="s">
        <v>78</v>
      </c>
      <c r="C11" s="7" t="n">
        <f aca="false">COUNTIF(Screening!$O$2:$O$510,A11)</f>
        <v>3</v>
      </c>
    </row>
    <row r="12" customFormat="false" ht="15" hidden="false" customHeight="false" outlineLevel="0" collapsed="false">
      <c r="A12" s="7" t="s">
        <v>79</v>
      </c>
      <c r="B12" s="2" t="s">
        <v>80</v>
      </c>
      <c r="C12" s="7" t="n">
        <f aca="false">COUNTIF(Screening!$O$2:$O$510,A12)</f>
        <v>1</v>
      </c>
    </row>
    <row r="13" customFormat="false" ht="15" hidden="false" customHeight="false" outlineLevel="0" collapsed="false">
      <c r="A13" s="7" t="s">
        <v>81</v>
      </c>
      <c r="B13" s="2" t="s">
        <v>82</v>
      </c>
      <c r="C13" s="7" t="n">
        <f aca="false">COUNTIF(Screening!$O$2:$O$510,A13)</f>
        <v>31</v>
      </c>
    </row>
    <row r="14" customFormat="false" ht="15" hidden="false" customHeight="false" outlineLevel="0" collapsed="false">
      <c r="A14" s="7" t="s">
        <v>83</v>
      </c>
      <c r="B14" s="2" t="s">
        <v>84</v>
      </c>
      <c r="C14" s="7" t="n">
        <f aca="false">COUNTIF(Screening!$O$2:$O$510,A14)</f>
        <v>3</v>
      </c>
    </row>
    <row r="15" customFormat="false" ht="15" hidden="false" customHeight="false" outlineLevel="0" collapsed="false">
      <c r="A15" s="7" t="s">
        <v>85</v>
      </c>
      <c r="B15" s="2" t="s">
        <v>86</v>
      </c>
      <c r="C15" s="7" t="n">
        <f aca="false">COUNTIF(Screening!$O$2:$O$510,A15)</f>
        <v>164</v>
      </c>
    </row>
    <row r="16" customFormat="false" ht="15" hidden="false" customHeight="false" outlineLevel="0" collapsed="false">
      <c r="A16" s="7" t="s">
        <v>87</v>
      </c>
      <c r="B16" s="2" t="s">
        <v>88</v>
      </c>
      <c r="C16" s="7" t="n">
        <f aca="false">COUNTIF(Screening!$O$2:$O$510,A16)</f>
        <v>51</v>
      </c>
    </row>
    <row r="17" customFormat="false" ht="15" hidden="false" customHeight="false" outlineLevel="0" collapsed="false">
      <c r="A17" s="7" t="s">
        <v>89</v>
      </c>
      <c r="B17" s="2" t="s">
        <v>90</v>
      </c>
      <c r="C17" s="7" t="n">
        <f aca="false">COUNTIF(Screening!$O$2:$O$510,A17)</f>
        <v>3</v>
      </c>
    </row>
    <row r="19" customFormat="false" ht="15" hidden="false" customHeight="false" outlineLevel="0" collapsed="false">
      <c r="A19" s="6" t="s">
        <v>91</v>
      </c>
      <c r="B19" s="6" t="s">
        <v>92</v>
      </c>
      <c r="C19" s="6" t="s">
        <v>93</v>
      </c>
    </row>
    <row r="20" customFormat="false" ht="15" hidden="false" customHeight="false" outlineLevel="0" collapsed="false">
      <c r="A20" s="7" t="s">
        <v>94</v>
      </c>
      <c r="B20" s="7" t="s">
        <v>95</v>
      </c>
      <c r="C20" s="7" t="s">
        <v>96</v>
      </c>
    </row>
    <row r="21" customFormat="false" ht="15" hidden="false" customHeight="false" outlineLevel="0" collapsed="false">
      <c r="A21" s="7" t="s">
        <v>97</v>
      </c>
      <c r="B21" s="7" t="s">
        <v>98</v>
      </c>
      <c r="C21" s="7" t="s">
        <v>96</v>
      </c>
    </row>
    <row r="22" customFormat="false" ht="15" hidden="false" customHeight="false" outlineLevel="0" collapsed="false">
      <c r="A22" s="7" t="s">
        <v>99</v>
      </c>
      <c r="B22" s="7" t="s">
        <v>100</v>
      </c>
      <c r="C22" s="7" t="s">
        <v>96</v>
      </c>
    </row>
    <row r="23" customFormat="false" ht="15" hidden="false" customHeight="false" outlineLevel="0" collapsed="false">
      <c r="A23" s="7" t="s">
        <v>101</v>
      </c>
      <c r="B23" s="7" t="s">
        <v>102</v>
      </c>
      <c r="C23" s="7" t="s">
        <v>96</v>
      </c>
    </row>
    <row r="24" customFormat="false" ht="15" hidden="false" customHeight="false" outlineLevel="0" collapsed="false">
      <c r="A24" s="7" t="s">
        <v>103</v>
      </c>
      <c r="B24" s="7" t="s">
        <v>104</v>
      </c>
      <c r="C24" s="7" t="s">
        <v>96</v>
      </c>
    </row>
    <row r="25" customFormat="false" ht="15" hidden="false" customHeight="false" outlineLevel="0" collapsed="false">
      <c r="A25" s="7" t="s">
        <v>105</v>
      </c>
      <c r="B25" s="7" t="s">
        <v>106</v>
      </c>
      <c r="C25" s="7" t="s">
        <v>96</v>
      </c>
    </row>
    <row r="26" customFormat="false" ht="15" hidden="false" customHeight="false" outlineLevel="0" collapsed="false">
      <c r="A26" s="7" t="s">
        <v>107</v>
      </c>
      <c r="B26" s="7" t="s">
        <v>108</v>
      </c>
      <c r="C26" s="7" t="s">
        <v>109</v>
      </c>
    </row>
    <row r="27" customFormat="false" ht="15" hidden="false" customHeight="false" outlineLevel="0" collapsed="false">
      <c r="A27" s="7" t="s">
        <v>110</v>
      </c>
      <c r="B27" s="7" t="s">
        <v>111</v>
      </c>
      <c r="C27" s="7" t="s">
        <v>112</v>
      </c>
    </row>
    <row r="28" customFormat="false" ht="15" hidden="false" customHeight="false" outlineLevel="0" collapsed="false">
      <c r="A28" s="7" t="s">
        <v>113</v>
      </c>
      <c r="B28" s="7" t="s">
        <v>114</v>
      </c>
      <c r="C28" s="7" t="s">
        <v>115</v>
      </c>
    </row>
    <row r="29" customFormat="false" ht="15" hidden="false" customHeight="false" outlineLevel="0" collapsed="false">
      <c r="A29" s="7" t="s">
        <v>116</v>
      </c>
      <c r="B29" s="7" t="s">
        <v>117</v>
      </c>
      <c r="C29" s="7" t="s">
        <v>115</v>
      </c>
    </row>
    <row r="30" customFormat="false" ht="15" hidden="false" customHeight="false" outlineLevel="0" collapsed="false">
      <c r="A30" s="7" t="s">
        <v>118</v>
      </c>
      <c r="B30" s="7" t="s">
        <v>119</v>
      </c>
      <c r="C30" s="7" t="s">
        <v>115</v>
      </c>
    </row>
    <row r="31" customFormat="false" ht="15" hidden="false" customHeight="false" outlineLevel="0" collapsed="false">
      <c r="A31" s="7" t="s">
        <v>120</v>
      </c>
      <c r="B31" s="7" t="s">
        <v>121</v>
      </c>
      <c r="C31" s="7"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5"/>
    <col collapsed="false" customWidth="true" hidden="false" outlineLevel="0" max="4" min="4" style="0" width="6"/>
    <col collapsed="false" customWidth="true" hidden="false" outlineLevel="0" max="5" min="5" style="0" width="11"/>
    <col collapsed="false" customWidth="true" hidden="false" outlineLevel="0" max="7" min="6" style="0" width="25"/>
    <col collapsed="false" customWidth="true" hidden="false" outlineLevel="0" max="8" min="8" style="0" width="22"/>
    <col collapsed="false" customWidth="true" hidden="false" outlineLevel="0" max="9" min="9" style="0" width="10"/>
    <col collapsed="false" customWidth="true" hidden="false" outlineLevel="0" max="11" min="10" style="0" width="9"/>
    <col collapsed="false" customWidth="true" hidden="false" outlineLevel="0" max="12" min="12" style="0" width="11"/>
    <col collapsed="false" customWidth="true" hidden="false" outlineLevel="0" max="13" min="13" style="0" width="8"/>
    <col collapsed="false" customWidth="true" hidden="false" outlineLevel="0" max="14" min="14" style="0" width="13"/>
    <col collapsed="false" customWidth="true" hidden="false" outlineLevel="0" max="15" min="15" style="0" width="11"/>
    <col collapsed="false" customWidth="true" hidden="false" outlineLevel="0" max="16" min="16" style="0" width="90"/>
  </cols>
  <sheetData>
    <row r="1" customFormat="false" ht="39.55" hidden="false" customHeight="false" outlineLevel="0" collapsed="false">
      <c r="A1" s="4" t="s">
        <v>122</v>
      </c>
      <c r="B1" s="4" t="s">
        <v>123</v>
      </c>
      <c r="C1" s="4" t="s">
        <v>124</v>
      </c>
      <c r="D1" s="4" t="s">
        <v>125</v>
      </c>
      <c r="E1" s="4" t="s">
        <v>126</v>
      </c>
      <c r="F1" s="4" t="s">
        <v>127</v>
      </c>
      <c r="G1" s="4" t="s">
        <v>128</v>
      </c>
      <c r="H1" s="4" t="s">
        <v>129</v>
      </c>
      <c r="I1" s="4" t="s">
        <v>130</v>
      </c>
      <c r="J1" s="4" t="s">
        <v>131</v>
      </c>
      <c r="K1" s="4" t="s">
        <v>93</v>
      </c>
      <c r="L1" s="4" t="s">
        <v>91</v>
      </c>
      <c r="M1" s="4" t="s">
        <v>132</v>
      </c>
      <c r="N1" s="4" t="s">
        <v>133</v>
      </c>
      <c r="O1" s="4" t="s">
        <v>134</v>
      </c>
      <c r="P1" s="4" t="s">
        <v>135</v>
      </c>
    </row>
    <row r="2" customFormat="false" ht="23.85" hidden="false" customHeight="false" outlineLevel="0" collapsed="false">
      <c r="A2" s="8" t="s">
        <v>136</v>
      </c>
      <c r="B2" s="8" t="s">
        <v>30</v>
      </c>
      <c r="C2" s="9" t="s">
        <v>137</v>
      </c>
      <c r="D2" s="8" t="n">
        <v>2017</v>
      </c>
      <c r="E2" s="8" t="s">
        <v>138</v>
      </c>
      <c r="F2" s="8"/>
      <c r="G2" s="8" t="s">
        <v>137</v>
      </c>
      <c r="H2" s="8"/>
      <c r="I2" s="8" t="s">
        <v>139</v>
      </c>
      <c r="J2" s="8" t="s">
        <v>81</v>
      </c>
      <c r="K2" s="8"/>
      <c r="L2" s="8"/>
      <c r="M2" s="8"/>
      <c r="N2" s="10"/>
      <c r="O2" s="11" t="str">
        <f aca="false">IF(N2="",IF(I2="Include","Include",J2),N2)</f>
        <v>EC4</v>
      </c>
      <c r="P2" s="11" t="s">
        <v>140</v>
      </c>
    </row>
    <row r="3" customFormat="false" ht="23.85" hidden="false" customHeight="false" outlineLevel="0" collapsed="false">
      <c r="A3" s="11" t="s">
        <v>141</v>
      </c>
      <c r="B3" s="11" t="s">
        <v>30</v>
      </c>
      <c r="C3" s="2" t="s">
        <v>142</v>
      </c>
      <c r="D3" s="11" t="n">
        <v>2019</v>
      </c>
      <c r="E3" s="11" t="s">
        <v>143</v>
      </c>
      <c r="F3" s="11" t="s">
        <v>144</v>
      </c>
      <c r="G3" s="11" t="s">
        <v>145</v>
      </c>
      <c r="H3" s="12" t="s">
        <v>146</v>
      </c>
      <c r="I3" s="11" t="s">
        <v>147</v>
      </c>
      <c r="J3" s="11"/>
      <c r="K3" s="11" t="s">
        <v>96</v>
      </c>
      <c r="L3" s="11" t="s">
        <v>103</v>
      </c>
      <c r="M3" s="11" t="s">
        <v>148</v>
      </c>
      <c r="N3" s="10"/>
      <c r="O3" s="11" t="str">
        <f aca="false">IF(N3="",IF(I3="Include","Include",J3),N3)</f>
        <v>Include</v>
      </c>
      <c r="P3" s="11" t="s">
        <v>149</v>
      </c>
    </row>
    <row r="4" customFormat="false" ht="23.85" hidden="false" customHeight="false" outlineLevel="0" collapsed="false">
      <c r="A4" s="11" t="s">
        <v>150</v>
      </c>
      <c r="B4" s="11" t="s">
        <v>30</v>
      </c>
      <c r="C4" s="2" t="s">
        <v>151</v>
      </c>
      <c r="D4" s="11" t="n">
        <v>2021</v>
      </c>
      <c r="E4" s="11" t="s">
        <v>143</v>
      </c>
      <c r="F4" s="11" t="s">
        <v>152</v>
      </c>
      <c r="G4" s="11" t="s">
        <v>153</v>
      </c>
      <c r="H4" s="12" t="s">
        <v>154</v>
      </c>
      <c r="I4" s="11" t="s">
        <v>147</v>
      </c>
      <c r="J4" s="11"/>
      <c r="K4" s="11" t="s">
        <v>96</v>
      </c>
      <c r="L4" s="11" t="s">
        <v>99</v>
      </c>
      <c r="M4" s="11" t="s">
        <v>148</v>
      </c>
      <c r="N4" s="10"/>
      <c r="O4" s="11" t="str">
        <f aca="false">IF(N4="",IF(I4="Include","Include",J4),N4)</f>
        <v>Include</v>
      </c>
      <c r="P4" s="11" t="s">
        <v>155</v>
      </c>
    </row>
    <row r="5" customFormat="false" ht="23.85" hidden="false" customHeight="false" outlineLevel="0" collapsed="false">
      <c r="A5" s="11" t="s">
        <v>156</v>
      </c>
      <c r="B5" s="11" t="s">
        <v>30</v>
      </c>
      <c r="C5" s="2" t="s">
        <v>157</v>
      </c>
      <c r="D5" s="11" t="n">
        <v>2025</v>
      </c>
      <c r="E5" s="11" t="s">
        <v>143</v>
      </c>
      <c r="F5" s="11" t="s">
        <v>158</v>
      </c>
      <c r="G5" s="11" t="s">
        <v>159</v>
      </c>
      <c r="H5" s="12" t="s">
        <v>160</v>
      </c>
      <c r="I5" s="11" t="s">
        <v>147</v>
      </c>
      <c r="J5" s="11"/>
      <c r="K5" s="11" t="s">
        <v>96</v>
      </c>
      <c r="L5" s="11" t="s">
        <v>99</v>
      </c>
      <c r="M5" s="11" t="s">
        <v>161</v>
      </c>
      <c r="N5" s="10"/>
      <c r="O5" s="11" t="str">
        <f aca="false">IF(N5="",IF(I5="Include","Include",J5),N5)</f>
        <v>Include</v>
      </c>
      <c r="P5" s="11" t="s">
        <v>162</v>
      </c>
    </row>
    <row r="6" customFormat="false" ht="23.85" hidden="false" customHeight="false" outlineLevel="0" collapsed="false">
      <c r="A6" s="11" t="s">
        <v>163</v>
      </c>
      <c r="B6" s="11" t="s">
        <v>30</v>
      </c>
      <c r="C6" s="2" t="s">
        <v>164</v>
      </c>
      <c r="D6" s="11" t="n">
        <v>2023</v>
      </c>
      <c r="E6" s="11" t="s">
        <v>143</v>
      </c>
      <c r="F6" s="11" t="s">
        <v>165</v>
      </c>
      <c r="G6" s="11" t="s">
        <v>166</v>
      </c>
      <c r="H6" s="12" t="s">
        <v>167</v>
      </c>
      <c r="I6" s="11" t="s">
        <v>147</v>
      </c>
      <c r="J6" s="11"/>
      <c r="K6" s="11" t="s">
        <v>96</v>
      </c>
      <c r="L6" s="11" t="s">
        <v>99</v>
      </c>
      <c r="M6" s="11" t="s">
        <v>148</v>
      </c>
      <c r="N6" s="10"/>
      <c r="O6" s="11" t="str">
        <f aca="false">IF(N6="",IF(I6="Include","Include",J6),N6)</f>
        <v>Include</v>
      </c>
      <c r="P6" s="11" t="s">
        <v>168</v>
      </c>
    </row>
    <row r="7" customFormat="false" ht="23.85" hidden="false" customHeight="false" outlineLevel="0" collapsed="false">
      <c r="A7" s="11" t="s">
        <v>169</v>
      </c>
      <c r="B7" s="11" t="s">
        <v>30</v>
      </c>
      <c r="C7" s="2" t="s">
        <v>170</v>
      </c>
      <c r="D7" s="11" t="n">
        <v>2025</v>
      </c>
      <c r="E7" s="11" t="s">
        <v>171</v>
      </c>
      <c r="F7" s="11" t="s">
        <v>172</v>
      </c>
      <c r="G7" s="11" t="s">
        <v>173</v>
      </c>
      <c r="H7" s="12" t="s">
        <v>174</v>
      </c>
      <c r="I7" s="11" t="s">
        <v>147</v>
      </c>
      <c r="J7" s="11"/>
      <c r="K7" s="11" t="s">
        <v>96</v>
      </c>
      <c r="L7" s="11" t="s">
        <v>99</v>
      </c>
      <c r="M7" s="11" t="s">
        <v>148</v>
      </c>
      <c r="N7" s="10"/>
      <c r="O7" s="11" t="str">
        <f aca="false">IF(N7="",IF(I7="Include","Include",J7),N7)</f>
        <v>Include</v>
      </c>
      <c r="P7" s="11" t="s">
        <v>175</v>
      </c>
    </row>
    <row r="8" customFormat="false" ht="15" hidden="false" customHeight="false" outlineLevel="0" collapsed="false">
      <c r="A8" s="11" t="s">
        <v>176</v>
      </c>
      <c r="B8" s="11" t="s">
        <v>30</v>
      </c>
      <c r="C8" s="2" t="s">
        <v>177</v>
      </c>
      <c r="D8" s="11" t="n">
        <v>2021</v>
      </c>
      <c r="E8" s="11" t="s">
        <v>143</v>
      </c>
      <c r="F8" s="11" t="s">
        <v>152</v>
      </c>
      <c r="G8" s="11" t="s">
        <v>178</v>
      </c>
      <c r="H8" s="12" t="s">
        <v>179</v>
      </c>
      <c r="I8" s="11" t="s">
        <v>147</v>
      </c>
      <c r="J8" s="11"/>
      <c r="K8" s="11" t="s">
        <v>96</v>
      </c>
      <c r="L8" s="11" t="s">
        <v>99</v>
      </c>
      <c r="M8" s="11" t="s">
        <v>161</v>
      </c>
      <c r="N8" s="10"/>
      <c r="O8" s="11" t="str">
        <f aca="false">IF(N8="",IF(I8="Include","Include",J8),N8)</f>
        <v>Include</v>
      </c>
      <c r="P8" s="11" t="s">
        <v>180</v>
      </c>
    </row>
    <row r="9" customFormat="false" ht="35.05" hidden="false" customHeight="false" outlineLevel="0" collapsed="false">
      <c r="A9" s="11" t="s">
        <v>181</v>
      </c>
      <c r="B9" s="11" t="s">
        <v>30</v>
      </c>
      <c r="C9" s="2" t="s">
        <v>182</v>
      </c>
      <c r="D9" s="11" t="n">
        <v>2026</v>
      </c>
      <c r="E9" s="11" t="s">
        <v>143</v>
      </c>
      <c r="F9" s="11" t="s">
        <v>183</v>
      </c>
      <c r="G9" s="11" t="s">
        <v>184</v>
      </c>
      <c r="H9" s="12" t="s">
        <v>185</v>
      </c>
      <c r="I9" s="11" t="s">
        <v>147</v>
      </c>
      <c r="J9" s="11"/>
      <c r="K9" s="11" t="s">
        <v>96</v>
      </c>
      <c r="L9" s="11" t="s">
        <v>99</v>
      </c>
      <c r="M9" s="11" t="s">
        <v>148</v>
      </c>
      <c r="N9" s="10"/>
      <c r="O9" s="11" t="str">
        <f aca="false">IF(N9="",IF(I9="Include","Include",J9),N9)</f>
        <v>Include</v>
      </c>
      <c r="P9" s="11" t="s">
        <v>186</v>
      </c>
    </row>
    <row r="10" customFormat="false" ht="23.85" hidden="false" customHeight="false" outlineLevel="0" collapsed="false">
      <c r="A10" s="11" t="s">
        <v>187</v>
      </c>
      <c r="B10" s="11" t="s">
        <v>30</v>
      </c>
      <c r="C10" s="2" t="s">
        <v>188</v>
      </c>
      <c r="D10" s="11" t="n">
        <v>2025</v>
      </c>
      <c r="E10" s="11" t="s">
        <v>143</v>
      </c>
      <c r="F10" s="11" t="s">
        <v>189</v>
      </c>
      <c r="G10" s="11" t="s">
        <v>190</v>
      </c>
      <c r="H10" s="12" t="s">
        <v>191</v>
      </c>
      <c r="I10" s="11" t="s">
        <v>147</v>
      </c>
      <c r="J10" s="11"/>
      <c r="K10" s="11" t="s">
        <v>96</v>
      </c>
      <c r="L10" s="11" t="s">
        <v>103</v>
      </c>
      <c r="M10" s="11" t="s">
        <v>161</v>
      </c>
      <c r="N10" s="10"/>
      <c r="O10" s="11" t="str">
        <f aca="false">IF(N10="",IF(I10="Include","Include",J10),N10)</f>
        <v>Include</v>
      </c>
      <c r="P10" s="11" t="s">
        <v>192</v>
      </c>
    </row>
    <row r="11" customFormat="false" ht="23.85" hidden="false" customHeight="false" outlineLevel="0" collapsed="false">
      <c r="A11" s="11" t="s">
        <v>193</v>
      </c>
      <c r="B11" s="11" t="s">
        <v>30</v>
      </c>
      <c r="C11" s="2" t="s">
        <v>194</v>
      </c>
      <c r="D11" s="11" t="n">
        <v>2026</v>
      </c>
      <c r="E11" s="11" t="s">
        <v>143</v>
      </c>
      <c r="F11" s="11" t="s">
        <v>195</v>
      </c>
      <c r="G11" s="11" t="s">
        <v>196</v>
      </c>
      <c r="H11" s="12" t="s">
        <v>197</v>
      </c>
      <c r="I11" s="11" t="s">
        <v>147</v>
      </c>
      <c r="J11" s="11"/>
      <c r="K11" s="11" t="s">
        <v>96</v>
      </c>
      <c r="L11" s="11" t="s">
        <v>105</v>
      </c>
      <c r="M11" s="11" t="s">
        <v>161</v>
      </c>
      <c r="N11" s="10"/>
      <c r="O11" s="11" t="str">
        <f aca="false">IF(N11="",IF(I11="Include","Include",J11),N11)</f>
        <v>Include</v>
      </c>
      <c r="P11" s="11" t="s">
        <v>198</v>
      </c>
    </row>
    <row r="12" customFormat="false" ht="15" hidden="false" customHeight="false" outlineLevel="0" collapsed="false">
      <c r="A12" s="11" t="s">
        <v>199</v>
      </c>
      <c r="B12" s="11" t="s">
        <v>30</v>
      </c>
      <c r="C12" s="2" t="s">
        <v>200</v>
      </c>
      <c r="D12" s="11" t="n">
        <v>2020</v>
      </c>
      <c r="E12" s="11" t="s">
        <v>143</v>
      </c>
      <c r="F12" s="11" t="s">
        <v>201</v>
      </c>
      <c r="G12" s="11" t="s">
        <v>202</v>
      </c>
      <c r="H12" s="12" t="s">
        <v>203</v>
      </c>
      <c r="I12" s="11" t="s">
        <v>147</v>
      </c>
      <c r="J12" s="11"/>
      <c r="K12" s="11" t="s">
        <v>96</v>
      </c>
      <c r="L12" s="11" t="s">
        <v>99</v>
      </c>
      <c r="M12" s="11" t="s">
        <v>148</v>
      </c>
      <c r="N12" s="10"/>
      <c r="O12" s="11" t="str">
        <f aca="false">IF(N12="",IF(I12="Include","Include",J12),N12)</f>
        <v>Include</v>
      </c>
      <c r="P12" s="11" t="s">
        <v>204</v>
      </c>
    </row>
    <row r="13" customFormat="false" ht="23.85" hidden="false" customHeight="false" outlineLevel="0" collapsed="false">
      <c r="A13" s="11" t="s">
        <v>205</v>
      </c>
      <c r="B13" s="11" t="s">
        <v>30</v>
      </c>
      <c r="C13" s="2" t="s">
        <v>206</v>
      </c>
      <c r="D13" s="11" t="n">
        <v>2023</v>
      </c>
      <c r="E13" s="11" t="s">
        <v>171</v>
      </c>
      <c r="F13" s="11" t="s">
        <v>207</v>
      </c>
      <c r="G13" s="11" t="s">
        <v>208</v>
      </c>
      <c r="H13" s="12" t="s">
        <v>209</v>
      </c>
      <c r="I13" s="11" t="s">
        <v>147</v>
      </c>
      <c r="J13" s="11"/>
      <c r="K13" s="11" t="s">
        <v>96</v>
      </c>
      <c r="L13" s="11" t="s">
        <v>101</v>
      </c>
      <c r="M13" s="11" t="s">
        <v>210</v>
      </c>
      <c r="N13" s="10"/>
      <c r="O13" s="11" t="str">
        <f aca="false">IF(N13="",IF(I13="Include","Include",J13),N13)</f>
        <v>Include</v>
      </c>
      <c r="P13" s="11" t="s">
        <v>211</v>
      </c>
    </row>
    <row r="14" customFormat="false" ht="23.85" hidden="false" customHeight="false" outlineLevel="0" collapsed="false">
      <c r="A14" s="8" t="s">
        <v>212</v>
      </c>
      <c r="B14" s="8" t="s">
        <v>30</v>
      </c>
      <c r="C14" s="9" t="s">
        <v>213</v>
      </c>
      <c r="D14" s="8" t="n">
        <v>2020</v>
      </c>
      <c r="E14" s="8" t="s">
        <v>143</v>
      </c>
      <c r="F14" s="8" t="s">
        <v>214</v>
      </c>
      <c r="G14" s="8" t="s">
        <v>215</v>
      </c>
      <c r="H14" s="13" t="s">
        <v>216</v>
      </c>
      <c r="I14" s="8" t="s">
        <v>139</v>
      </c>
      <c r="J14" s="8" t="s">
        <v>87</v>
      </c>
      <c r="K14" s="8"/>
      <c r="L14" s="8"/>
      <c r="M14" s="8"/>
      <c r="N14" s="10"/>
      <c r="O14" s="11" t="str">
        <f aca="false">IF(N14="",IF(I14="Include","Include",J14),N14)</f>
        <v>EC7</v>
      </c>
      <c r="P14" s="11" t="s">
        <v>217</v>
      </c>
    </row>
    <row r="15" customFormat="false" ht="35.05" hidden="false" customHeight="false" outlineLevel="0" collapsed="false">
      <c r="A15" s="8" t="s">
        <v>218</v>
      </c>
      <c r="B15" s="8" t="s">
        <v>219</v>
      </c>
      <c r="C15" s="9" t="s">
        <v>220</v>
      </c>
      <c r="D15" s="8" t="n">
        <v>2021</v>
      </c>
      <c r="E15" s="8" t="s">
        <v>138</v>
      </c>
      <c r="F15" s="8"/>
      <c r="G15" s="8" t="s">
        <v>220</v>
      </c>
      <c r="H15" s="8"/>
      <c r="I15" s="8" t="s">
        <v>139</v>
      </c>
      <c r="J15" s="8" t="s">
        <v>81</v>
      </c>
      <c r="K15" s="8"/>
      <c r="L15" s="8"/>
      <c r="M15" s="8"/>
      <c r="N15" s="10"/>
      <c r="O15" s="11" t="str">
        <f aca="false">IF(N15="",IF(I15="Include","Include",J15),N15)</f>
        <v>EC4</v>
      </c>
      <c r="P15" s="11" t="s">
        <v>221</v>
      </c>
    </row>
    <row r="16" customFormat="false" ht="23.85" hidden="false" customHeight="false" outlineLevel="0" collapsed="false">
      <c r="A16" s="11" t="s">
        <v>222</v>
      </c>
      <c r="B16" s="11" t="s">
        <v>30</v>
      </c>
      <c r="C16" s="2" t="s">
        <v>223</v>
      </c>
      <c r="D16" s="11" t="n">
        <v>2026</v>
      </c>
      <c r="E16" s="11" t="s">
        <v>171</v>
      </c>
      <c r="F16" s="11" t="s">
        <v>224</v>
      </c>
      <c r="G16" s="11" t="s">
        <v>225</v>
      </c>
      <c r="H16" s="12" t="s">
        <v>226</v>
      </c>
      <c r="I16" s="11" t="s">
        <v>147</v>
      </c>
      <c r="J16" s="11"/>
      <c r="K16" s="11" t="s">
        <v>96</v>
      </c>
      <c r="L16" s="11" t="s">
        <v>99</v>
      </c>
      <c r="M16" s="11" t="s">
        <v>161</v>
      </c>
      <c r="N16" s="10"/>
      <c r="O16" s="11" t="str">
        <f aca="false">IF(N16="",IF(I16="Include","Include",J16),N16)</f>
        <v>Include</v>
      </c>
      <c r="P16" s="11" t="s">
        <v>227</v>
      </c>
    </row>
    <row r="17" customFormat="false" ht="23.85" hidden="false" customHeight="false" outlineLevel="0" collapsed="false">
      <c r="A17" s="11" t="s">
        <v>228</v>
      </c>
      <c r="B17" s="11" t="s">
        <v>30</v>
      </c>
      <c r="C17" s="2" t="s">
        <v>229</v>
      </c>
      <c r="D17" s="11" t="n">
        <v>2026</v>
      </c>
      <c r="E17" s="11" t="s">
        <v>143</v>
      </c>
      <c r="F17" s="11" t="s">
        <v>230</v>
      </c>
      <c r="G17" s="11" t="s">
        <v>231</v>
      </c>
      <c r="H17" s="12" t="s">
        <v>232</v>
      </c>
      <c r="I17" s="11" t="s">
        <v>147</v>
      </c>
      <c r="J17" s="11"/>
      <c r="K17" s="11" t="s">
        <v>96</v>
      </c>
      <c r="L17" s="11" t="s">
        <v>99</v>
      </c>
      <c r="M17" s="11" t="s">
        <v>161</v>
      </c>
      <c r="N17" s="10"/>
      <c r="O17" s="11" t="str">
        <f aca="false">IF(N17="",IF(I17="Include","Include",J17),N17)</f>
        <v>Include</v>
      </c>
      <c r="P17" s="11" t="s">
        <v>233</v>
      </c>
    </row>
    <row r="18" customFormat="false" ht="35.05" hidden="false" customHeight="false" outlineLevel="0" collapsed="false">
      <c r="A18" s="8" t="s">
        <v>234</v>
      </c>
      <c r="B18" s="8" t="s">
        <v>30</v>
      </c>
      <c r="C18" s="9" t="s">
        <v>235</v>
      </c>
      <c r="D18" s="8" t="n">
        <v>2026</v>
      </c>
      <c r="E18" s="8" t="s">
        <v>171</v>
      </c>
      <c r="F18" s="8" t="s">
        <v>236</v>
      </c>
      <c r="G18" s="8" t="s">
        <v>237</v>
      </c>
      <c r="H18" s="13" t="s">
        <v>238</v>
      </c>
      <c r="I18" s="8" t="s">
        <v>139</v>
      </c>
      <c r="J18" s="8" t="s">
        <v>85</v>
      </c>
      <c r="K18" s="8"/>
      <c r="L18" s="8"/>
      <c r="M18" s="8"/>
      <c r="N18" s="10"/>
      <c r="O18" s="11" t="str">
        <f aca="false">IF(N18="",IF(I18="Include","Include",J18),N18)</f>
        <v>EC6</v>
      </c>
      <c r="P18" s="11" t="s">
        <v>239</v>
      </c>
    </row>
    <row r="19" customFormat="false" ht="23.85" hidden="false" customHeight="false" outlineLevel="0" collapsed="false">
      <c r="A19" s="11" t="s">
        <v>240</v>
      </c>
      <c r="B19" s="11" t="s">
        <v>30</v>
      </c>
      <c r="C19" s="2" t="s">
        <v>241</v>
      </c>
      <c r="D19" s="11" t="n">
        <v>2026</v>
      </c>
      <c r="E19" s="11" t="s">
        <v>171</v>
      </c>
      <c r="F19" s="11" t="s">
        <v>242</v>
      </c>
      <c r="G19" s="11" t="s">
        <v>243</v>
      </c>
      <c r="H19" s="12" t="s">
        <v>244</v>
      </c>
      <c r="I19" s="11" t="s">
        <v>147</v>
      </c>
      <c r="J19" s="11"/>
      <c r="K19" s="11" t="s">
        <v>96</v>
      </c>
      <c r="L19" s="11" t="s">
        <v>99</v>
      </c>
      <c r="M19" s="11" t="s">
        <v>148</v>
      </c>
      <c r="N19" s="10"/>
      <c r="O19" s="11" t="str">
        <f aca="false">IF(N19="",IF(I19="Include","Include",J19),N19)</f>
        <v>Include</v>
      </c>
      <c r="P19" s="11" t="s">
        <v>245</v>
      </c>
    </row>
    <row r="20" customFormat="false" ht="23.85" hidden="false" customHeight="false" outlineLevel="0" collapsed="false">
      <c r="A20" s="11" t="s">
        <v>246</v>
      </c>
      <c r="B20" s="11" t="s">
        <v>30</v>
      </c>
      <c r="C20" s="2" t="s">
        <v>247</v>
      </c>
      <c r="D20" s="11" t="n">
        <v>2022</v>
      </c>
      <c r="E20" s="11" t="s">
        <v>143</v>
      </c>
      <c r="F20" s="11" t="s">
        <v>248</v>
      </c>
      <c r="G20" s="11" t="s">
        <v>249</v>
      </c>
      <c r="H20" s="12" t="s">
        <v>250</v>
      </c>
      <c r="I20" s="11" t="s">
        <v>147</v>
      </c>
      <c r="J20" s="11"/>
      <c r="K20" s="11" t="s">
        <v>96</v>
      </c>
      <c r="L20" s="11" t="s">
        <v>103</v>
      </c>
      <c r="M20" s="11" t="s">
        <v>161</v>
      </c>
      <c r="N20" s="10"/>
      <c r="O20" s="11" t="str">
        <f aca="false">IF(N20="",IF(I20="Include","Include",J20),N20)</f>
        <v>Include</v>
      </c>
      <c r="P20" s="11" t="s">
        <v>251</v>
      </c>
    </row>
    <row r="21" customFormat="false" ht="23.85" hidden="false" customHeight="false" outlineLevel="0" collapsed="false">
      <c r="A21" s="11" t="s">
        <v>252</v>
      </c>
      <c r="B21" s="11" t="s">
        <v>30</v>
      </c>
      <c r="C21" s="2" t="s">
        <v>253</v>
      </c>
      <c r="D21" s="11" t="n">
        <v>2022</v>
      </c>
      <c r="E21" s="11" t="s">
        <v>143</v>
      </c>
      <c r="F21" s="11" t="s">
        <v>254</v>
      </c>
      <c r="G21" s="11" t="s">
        <v>255</v>
      </c>
      <c r="H21" s="12" t="s">
        <v>256</v>
      </c>
      <c r="I21" s="11" t="s">
        <v>147</v>
      </c>
      <c r="J21" s="11"/>
      <c r="K21" s="11" t="s">
        <v>96</v>
      </c>
      <c r="L21" s="11" t="s">
        <v>99</v>
      </c>
      <c r="M21" s="11" t="s">
        <v>161</v>
      </c>
      <c r="N21" s="10"/>
      <c r="O21" s="11" t="str">
        <f aca="false">IF(N21="",IF(I21="Include","Include",J21),N21)</f>
        <v>Include</v>
      </c>
      <c r="P21" s="11" t="s">
        <v>257</v>
      </c>
    </row>
    <row r="22" customFormat="false" ht="23.85" hidden="false" customHeight="false" outlineLevel="0" collapsed="false">
      <c r="A22" s="8" t="s">
        <v>258</v>
      </c>
      <c r="B22" s="8" t="s">
        <v>30</v>
      </c>
      <c r="C22" s="9" t="s">
        <v>259</v>
      </c>
      <c r="D22" s="8" t="n">
        <v>2020</v>
      </c>
      <c r="E22" s="8" t="s">
        <v>171</v>
      </c>
      <c r="F22" s="8"/>
      <c r="G22" s="8" t="s">
        <v>260</v>
      </c>
      <c r="H22" s="8"/>
      <c r="I22" s="8" t="s">
        <v>139</v>
      </c>
      <c r="J22" s="8" t="s">
        <v>81</v>
      </c>
      <c r="K22" s="8"/>
      <c r="L22" s="8"/>
      <c r="M22" s="8"/>
      <c r="N22" s="10"/>
      <c r="O22" s="11" t="str">
        <f aca="false">IF(N22="",IF(I22="Include","Include",J22),N22)</f>
        <v>EC4</v>
      </c>
      <c r="P22" s="11" t="s">
        <v>261</v>
      </c>
    </row>
    <row r="23" customFormat="false" ht="23.85" hidden="false" customHeight="false" outlineLevel="0" collapsed="false">
      <c r="A23" s="8" t="s">
        <v>262</v>
      </c>
      <c r="B23" s="8" t="s">
        <v>30</v>
      </c>
      <c r="C23" s="9" t="s">
        <v>263</v>
      </c>
      <c r="D23" s="8" t="n">
        <v>2018</v>
      </c>
      <c r="E23" s="8" t="s">
        <v>138</v>
      </c>
      <c r="F23" s="8"/>
      <c r="G23" s="8" t="s">
        <v>263</v>
      </c>
      <c r="H23" s="8"/>
      <c r="I23" s="8" t="s">
        <v>139</v>
      </c>
      <c r="J23" s="8" t="s">
        <v>81</v>
      </c>
      <c r="K23" s="8"/>
      <c r="L23" s="8"/>
      <c r="M23" s="8"/>
      <c r="N23" s="10"/>
      <c r="O23" s="11" t="str">
        <f aca="false">IF(N23="",IF(I23="Include","Include",J23),N23)</f>
        <v>EC4</v>
      </c>
      <c r="P23" s="11" t="s">
        <v>264</v>
      </c>
    </row>
    <row r="24" customFormat="false" ht="23.85" hidden="false" customHeight="false" outlineLevel="0" collapsed="false">
      <c r="A24" s="11" t="s">
        <v>265</v>
      </c>
      <c r="B24" s="11" t="s">
        <v>30</v>
      </c>
      <c r="C24" s="2" t="s">
        <v>266</v>
      </c>
      <c r="D24" s="11" t="n">
        <v>2023</v>
      </c>
      <c r="E24" s="11" t="s">
        <v>171</v>
      </c>
      <c r="F24" s="11" t="s">
        <v>267</v>
      </c>
      <c r="G24" s="11" t="s">
        <v>268</v>
      </c>
      <c r="H24" s="12" t="s">
        <v>269</v>
      </c>
      <c r="I24" s="11" t="s">
        <v>147</v>
      </c>
      <c r="J24" s="11"/>
      <c r="K24" s="11" t="s">
        <v>96</v>
      </c>
      <c r="L24" s="11" t="s">
        <v>99</v>
      </c>
      <c r="M24" s="11" t="s">
        <v>148</v>
      </c>
      <c r="N24" s="10"/>
      <c r="O24" s="11" t="str">
        <f aca="false">IF(N24="",IF(I24="Include","Include",J24),N24)</f>
        <v>Include</v>
      </c>
      <c r="P24" s="11" t="s">
        <v>270</v>
      </c>
    </row>
    <row r="25" customFormat="false" ht="15" hidden="false" customHeight="false" outlineLevel="0" collapsed="false">
      <c r="A25" s="11" t="s">
        <v>271</v>
      </c>
      <c r="B25" s="11" t="s">
        <v>30</v>
      </c>
      <c r="C25" s="2" t="s">
        <v>272</v>
      </c>
      <c r="D25" s="11" t="n">
        <v>2020</v>
      </c>
      <c r="E25" s="11" t="s">
        <v>143</v>
      </c>
      <c r="F25" s="11" t="s">
        <v>273</v>
      </c>
      <c r="G25" s="11" t="s">
        <v>260</v>
      </c>
      <c r="H25" s="12" t="s">
        <v>274</v>
      </c>
      <c r="I25" s="11" t="s">
        <v>147</v>
      </c>
      <c r="J25" s="11"/>
      <c r="K25" s="11" t="s">
        <v>96</v>
      </c>
      <c r="L25" s="11" t="s">
        <v>99</v>
      </c>
      <c r="M25" s="11" t="s">
        <v>148</v>
      </c>
      <c r="N25" s="10"/>
      <c r="O25" s="11" t="str">
        <f aca="false">IF(N25="",IF(I25="Include","Include",J25),N25)</f>
        <v>Include</v>
      </c>
      <c r="P25" s="11" t="s">
        <v>275</v>
      </c>
    </row>
    <row r="26" customFormat="false" ht="15" hidden="false" customHeight="false" outlineLevel="0" collapsed="false">
      <c r="A26" s="11" t="s">
        <v>276</v>
      </c>
      <c r="B26" s="11" t="s">
        <v>30</v>
      </c>
      <c r="C26" s="2" t="s">
        <v>277</v>
      </c>
      <c r="D26" s="11" t="n">
        <v>2019</v>
      </c>
      <c r="E26" s="11" t="s">
        <v>143</v>
      </c>
      <c r="F26" s="11" t="s">
        <v>278</v>
      </c>
      <c r="G26" s="11" t="s">
        <v>279</v>
      </c>
      <c r="H26" s="12" t="s">
        <v>280</v>
      </c>
      <c r="I26" s="11" t="s">
        <v>147</v>
      </c>
      <c r="J26" s="11"/>
      <c r="K26" s="11" t="s">
        <v>96</v>
      </c>
      <c r="L26" s="11" t="s">
        <v>99</v>
      </c>
      <c r="M26" s="11" t="s">
        <v>161</v>
      </c>
      <c r="N26" s="10"/>
      <c r="O26" s="11" t="str">
        <f aca="false">IF(N26="",IF(I26="Include","Include",J26),N26)</f>
        <v>Include</v>
      </c>
      <c r="P26" s="11" t="s">
        <v>281</v>
      </c>
    </row>
    <row r="27" customFormat="false" ht="15" hidden="false" customHeight="false" outlineLevel="0" collapsed="false">
      <c r="A27" s="11" t="s">
        <v>282</v>
      </c>
      <c r="B27" s="11" t="s">
        <v>219</v>
      </c>
      <c r="C27" s="2" t="s">
        <v>283</v>
      </c>
      <c r="D27" s="11" t="n">
        <v>2024</v>
      </c>
      <c r="E27" s="11" t="s">
        <v>171</v>
      </c>
      <c r="F27" s="11" t="s">
        <v>284</v>
      </c>
      <c r="G27" s="11" t="s">
        <v>285</v>
      </c>
      <c r="H27" s="12" t="s">
        <v>286</v>
      </c>
      <c r="I27" s="11" t="s">
        <v>147</v>
      </c>
      <c r="J27" s="11"/>
      <c r="K27" s="11" t="s">
        <v>96</v>
      </c>
      <c r="L27" s="11" t="s">
        <v>94</v>
      </c>
      <c r="M27" s="11" t="s">
        <v>210</v>
      </c>
      <c r="N27" s="10"/>
      <c r="O27" s="11" t="str">
        <f aca="false">IF(N27="",IF(I27="Include","Include",J27),N27)</f>
        <v>Include</v>
      </c>
      <c r="P27" s="11" t="s">
        <v>287</v>
      </c>
    </row>
    <row r="28" customFormat="false" ht="15" hidden="false" customHeight="false" outlineLevel="0" collapsed="false">
      <c r="A28" s="11" t="s">
        <v>288</v>
      </c>
      <c r="B28" s="11" t="s">
        <v>30</v>
      </c>
      <c r="C28" s="2" t="s">
        <v>289</v>
      </c>
      <c r="D28" s="11" t="n">
        <v>2024</v>
      </c>
      <c r="E28" s="11" t="s">
        <v>143</v>
      </c>
      <c r="F28" s="11" t="s">
        <v>290</v>
      </c>
      <c r="G28" s="11" t="s">
        <v>291</v>
      </c>
      <c r="H28" s="12" t="s">
        <v>292</v>
      </c>
      <c r="I28" s="11" t="s">
        <v>147</v>
      </c>
      <c r="J28" s="11"/>
      <c r="K28" s="11" t="s">
        <v>96</v>
      </c>
      <c r="L28" s="11" t="s">
        <v>105</v>
      </c>
      <c r="M28" s="11" t="s">
        <v>161</v>
      </c>
      <c r="N28" s="10"/>
      <c r="O28" s="11" t="str">
        <f aca="false">IF(N28="",IF(I28="Include","Include",J28),N28)</f>
        <v>Include</v>
      </c>
      <c r="P28" s="11" t="s">
        <v>293</v>
      </c>
    </row>
    <row r="29" customFormat="false" ht="15" hidden="false" customHeight="false" outlineLevel="0" collapsed="false">
      <c r="A29" s="8" t="s">
        <v>294</v>
      </c>
      <c r="B29" s="8" t="s">
        <v>219</v>
      </c>
      <c r="C29" s="9" t="s">
        <v>295</v>
      </c>
      <c r="D29" s="8" t="n">
        <v>2023</v>
      </c>
      <c r="E29" s="8" t="s">
        <v>143</v>
      </c>
      <c r="F29" s="8" t="s">
        <v>296</v>
      </c>
      <c r="G29" s="8" t="s">
        <v>297</v>
      </c>
      <c r="H29" s="13" t="s">
        <v>298</v>
      </c>
      <c r="I29" s="8" t="s">
        <v>139</v>
      </c>
      <c r="J29" s="8" t="s">
        <v>77</v>
      </c>
      <c r="K29" s="8"/>
      <c r="L29" s="8"/>
      <c r="M29" s="8"/>
      <c r="N29" s="10"/>
      <c r="O29" s="11" t="str">
        <f aca="false">IF(N29="",IF(I29="Include","Include",J29),N29)</f>
        <v>EC2</v>
      </c>
      <c r="P29" s="11" t="s">
        <v>299</v>
      </c>
    </row>
    <row r="30" customFormat="false" ht="15" hidden="false" customHeight="false" outlineLevel="0" collapsed="false">
      <c r="A30" s="11" t="s">
        <v>300</v>
      </c>
      <c r="B30" s="11" t="s">
        <v>30</v>
      </c>
      <c r="C30" s="2" t="s">
        <v>301</v>
      </c>
      <c r="D30" s="11" t="n">
        <v>2022</v>
      </c>
      <c r="E30" s="11" t="s">
        <v>143</v>
      </c>
      <c r="F30" s="11" t="s">
        <v>302</v>
      </c>
      <c r="G30" s="11" t="s">
        <v>303</v>
      </c>
      <c r="H30" s="12" t="s">
        <v>304</v>
      </c>
      <c r="I30" s="11" t="s">
        <v>147</v>
      </c>
      <c r="J30" s="11"/>
      <c r="K30" s="11" t="s">
        <v>96</v>
      </c>
      <c r="L30" s="11" t="s">
        <v>99</v>
      </c>
      <c r="M30" s="11" t="s">
        <v>148</v>
      </c>
      <c r="N30" s="10"/>
      <c r="O30" s="11" t="str">
        <f aca="false">IF(N30="",IF(I30="Include","Include",J30),N30)</f>
        <v>Include</v>
      </c>
      <c r="P30" s="11" t="s">
        <v>305</v>
      </c>
    </row>
    <row r="31" customFormat="false" ht="23.85" hidden="false" customHeight="false" outlineLevel="0" collapsed="false">
      <c r="A31" s="8" t="s">
        <v>306</v>
      </c>
      <c r="B31" s="8" t="s">
        <v>219</v>
      </c>
      <c r="C31" s="9" t="s">
        <v>307</v>
      </c>
      <c r="D31" s="8" t="n">
        <v>2018</v>
      </c>
      <c r="E31" s="8" t="s">
        <v>171</v>
      </c>
      <c r="F31" s="8"/>
      <c r="G31" s="8" t="s">
        <v>260</v>
      </c>
      <c r="H31" s="8"/>
      <c r="I31" s="8" t="s">
        <v>139</v>
      </c>
      <c r="J31" s="8" t="s">
        <v>81</v>
      </c>
      <c r="K31" s="8"/>
      <c r="L31" s="8"/>
      <c r="M31" s="8"/>
      <c r="N31" s="10"/>
      <c r="O31" s="11" t="str">
        <f aca="false">IF(N31="",IF(I31="Include","Include",J31),N31)</f>
        <v>EC4</v>
      </c>
      <c r="P31" s="11" t="s">
        <v>308</v>
      </c>
    </row>
    <row r="32" customFormat="false" ht="15" hidden="false" customHeight="false" outlineLevel="0" collapsed="false">
      <c r="A32" s="11" t="s">
        <v>309</v>
      </c>
      <c r="B32" s="11" t="s">
        <v>219</v>
      </c>
      <c r="C32" s="2" t="s">
        <v>310</v>
      </c>
      <c r="D32" s="11" t="n">
        <v>2020</v>
      </c>
      <c r="E32" s="11" t="s">
        <v>143</v>
      </c>
      <c r="F32" s="11" t="s">
        <v>311</v>
      </c>
      <c r="G32" s="11" t="s">
        <v>260</v>
      </c>
      <c r="H32" s="12" t="s">
        <v>312</v>
      </c>
      <c r="I32" s="11" t="s">
        <v>147</v>
      </c>
      <c r="J32" s="11"/>
      <c r="K32" s="11" t="s">
        <v>109</v>
      </c>
      <c r="L32" s="11" t="s">
        <v>107</v>
      </c>
      <c r="M32" s="11" t="s">
        <v>210</v>
      </c>
      <c r="N32" s="10"/>
      <c r="O32" s="11" t="str">
        <f aca="false">IF(N32="",IF(I32="Include","Include",J32),N32)</f>
        <v>Include</v>
      </c>
      <c r="P32" s="11" t="s">
        <v>313</v>
      </c>
    </row>
    <row r="33" customFormat="false" ht="23.85" hidden="false" customHeight="false" outlineLevel="0" collapsed="false">
      <c r="A33" s="8" t="s">
        <v>314</v>
      </c>
      <c r="B33" s="8" t="s">
        <v>30</v>
      </c>
      <c r="C33" s="9" t="s">
        <v>315</v>
      </c>
      <c r="D33" s="8" t="n">
        <v>2026</v>
      </c>
      <c r="E33" s="8" t="s">
        <v>143</v>
      </c>
      <c r="F33" s="8" t="s">
        <v>316</v>
      </c>
      <c r="G33" s="8" t="s">
        <v>317</v>
      </c>
      <c r="H33" s="13" t="s">
        <v>318</v>
      </c>
      <c r="I33" s="8" t="s">
        <v>139</v>
      </c>
      <c r="J33" s="8" t="s">
        <v>85</v>
      </c>
      <c r="K33" s="8"/>
      <c r="L33" s="8"/>
      <c r="M33" s="8"/>
      <c r="N33" s="10"/>
      <c r="O33" s="11" t="str">
        <f aca="false">IF(N33="",IF(I33="Include","Include",J33),N33)</f>
        <v>EC6</v>
      </c>
      <c r="P33" s="11" t="s">
        <v>319</v>
      </c>
    </row>
    <row r="34" customFormat="false" ht="23.85" hidden="false" customHeight="false" outlineLevel="0" collapsed="false">
      <c r="A34" s="11" t="s">
        <v>320</v>
      </c>
      <c r="B34" s="11" t="s">
        <v>30</v>
      </c>
      <c r="C34" s="2" t="s">
        <v>321</v>
      </c>
      <c r="D34" s="11" t="n">
        <v>2025</v>
      </c>
      <c r="E34" s="11" t="s">
        <v>143</v>
      </c>
      <c r="F34" s="11" t="s">
        <v>322</v>
      </c>
      <c r="G34" s="11" t="s">
        <v>323</v>
      </c>
      <c r="H34" s="12" t="s">
        <v>324</v>
      </c>
      <c r="I34" s="11" t="s">
        <v>147</v>
      </c>
      <c r="J34" s="11"/>
      <c r="K34" s="11" t="s">
        <v>96</v>
      </c>
      <c r="L34" s="11" t="s">
        <v>103</v>
      </c>
      <c r="M34" s="11" t="s">
        <v>161</v>
      </c>
      <c r="N34" s="10"/>
      <c r="O34" s="11" t="str">
        <f aca="false">IF(N34="",IF(I34="Include","Include",J34),N34)</f>
        <v>Include</v>
      </c>
      <c r="P34" s="11" t="s">
        <v>325</v>
      </c>
    </row>
    <row r="35" customFormat="false" ht="23.85" hidden="false" customHeight="false" outlineLevel="0" collapsed="false">
      <c r="A35" s="11" t="s">
        <v>326</v>
      </c>
      <c r="B35" s="11" t="s">
        <v>30</v>
      </c>
      <c r="C35" s="2" t="s">
        <v>327</v>
      </c>
      <c r="D35" s="11" t="n">
        <v>2024</v>
      </c>
      <c r="E35" s="11" t="s">
        <v>171</v>
      </c>
      <c r="F35" s="11" t="s">
        <v>328</v>
      </c>
      <c r="G35" s="11" t="s">
        <v>329</v>
      </c>
      <c r="H35" s="12" t="s">
        <v>330</v>
      </c>
      <c r="I35" s="11" t="s">
        <v>147</v>
      </c>
      <c r="J35" s="11"/>
      <c r="K35" s="11" t="s">
        <v>96</v>
      </c>
      <c r="L35" s="11" t="s">
        <v>103</v>
      </c>
      <c r="M35" s="11" t="s">
        <v>210</v>
      </c>
      <c r="N35" s="10"/>
      <c r="O35" s="11" t="str">
        <f aca="false">IF(N35="",IF(I35="Include","Include",J35),N35)</f>
        <v>Include</v>
      </c>
      <c r="P35" s="11" t="s">
        <v>331</v>
      </c>
    </row>
    <row r="36" customFormat="false" ht="23.85" hidden="false" customHeight="false" outlineLevel="0" collapsed="false">
      <c r="A36" s="8" t="s">
        <v>332</v>
      </c>
      <c r="B36" s="8" t="s">
        <v>30</v>
      </c>
      <c r="C36" s="9" t="s">
        <v>333</v>
      </c>
      <c r="D36" s="8" t="n">
        <v>2026</v>
      </c>
      <c r="E36" s="8" t="s">
        <v>171</v>
      </c>
      <c r="F36" s="8" t="s">
        <v>334</v>
      </c>
      <c r="G36" s="8" t="s">
        <v>335</v>
      </c>
      <c r="H36" s="13" t="s">
        <v>336</v>
      </c>
      <c r="I36" s="8" t="s">
        <v>139</v>
      </c>
      <c r="J36" s="8" t="s">
        <v>87</v>
      </c>
      <c r="K36" s="8"/>
      <c r="L36" s="8"/>
      <c r="M36" s="8"/>
      <c r="N36" s="10"/>
      <c r="O36" s="11" t="str">
        <f aca="false">IF(N36="",IF(I36="Include","Include",J36),N36)</f>
        <v>EC7</v>
      </c>
      <c r="P36" s="11" t="s">
        <v>337</v>
      </c>
    </row>
    <row r="37" customFormat="false" ht="15" hidden="false" customHeight="false" outlineLevel="0" collapsed="false">
      <c r="A37" s="11" t="s">
        <v>338</v>
      </c>
      <c r="B37" s="11" t="s">
        <v>30</v>
      </c>
      <c r="C37" s="2" t="s">
        <v>339</v>
      </c>
      <c r="D37" s="11" t="n">
        <v>2022</v>
      </c>
      <c r="E37" s="11" t="s">
        <v>143</v>
      </c>
      <c r="F37" s="11" t="s">
        <v>340</v>
      </c>
      <c r="G37" s="11" t="s">
        <v>341</v>
      </c>
      <c r="H37" s="12" t="s">
        <v>342</v>
      </c>
      <c r="I37" s="11" t="s">
        <v>147</v>
      </c>
      <c r="J37" s="11"/>
      <c r="K37" s="11" t="s">
        <v>96</v>
      </c>
      <c r="L37" s="11" t="s">
        <v>99</v>
      </c>
      <c r="M37" s="11" t="s">
        <v>161</v>
      </c>
      <c r="N37" s="10"/>
      <c r="O37" s="11" t="str">
        <f aca="false">IF(N37="",IF(I37="Include","Include",J37),N37)</f>
        <v>Include</v>
      </c>
      <c r="P37" s="11" t="s">
        <v>343</v>
      </c>
    </row>
    <row r="38" customFormat="false" ht="23.85" hidden="false" customHeight="false" outlineLevel="0" collapsed="false">
      <c r="A38" s="8" t="s">
        <v>344</v>
      </c>
      <c r="B38" s="8" t="s">
        <v>30</v>
      </c>
      <c r="C38" s="9" t="s">
        <v>345</v>
      </c>
      <c r="D38" s="8" t="n">
        <v>2024</v>
      </c>
      <c r="E38" s="8" t="s">
        <v>143</v>
      </c>
      <c r="F38" s="8" t="s">
        <v>346</v>
      </c>
      <c r="G38" s="8" t="s">
        <v>347</v>
      </c>
      <c r="H38" s="13" t="s">
        <v>348</v>
      </c>
      <c r="I38" s="8" t="s">
        <v>139</v>
      </c>
      <c r="J38" s="8" t="s">
        <v>85</v>
      </c>
      <c r="K38" s="8"/>
      <c r="L38" s="8"/>
      <c r="M38" s="8"/>
      <c r="N38" s="10"/>
      <c r="O38" s="11" t="str">
        <f aca="false">IF(N38="",IF(I38="Include","Include",J38),N38)</f>
        <v>EC6</v>
      </c>
      <c r="P38" s="11" t="s">
        <v>349</v>
      </c>
    </row>
    <row r="39" customFormat="false" ht="23.85" hidden="false" customHeight="false" outlineLevel="0" collapsed="false">
      <c r="A39" s="8" t="s">
        <v>350</v>
      </c>
      <c r="B39" s="8" t="s">
        <v>30</v>
      </c>
      <c r="C39" s="9" t="s">
        <v>351</v>
      </c>
      <c r="D39" s="8" t="n">
        <v>2025</v>
      </c>
      <c r="E39" s="8" t="s">
        <v>143</v>
      </c>
      <c r="F39" s="8" t="s">
        <v>352</v>
      </c>
      <c r="G39" s="8" t="s">
        <v>353</v>
      </c>
      <c r="H39" s="13" t="s">
        <v>354</v>
      </c>
      <c r="I39" s="8" t="s">
        <v>139</v>
      </c>
      <c r="J39" s="8" t="s">
        <v>85</v>
      </c>
      <c r="K39" s="8"/>
      <c r="L39" s="8"/>
      <c r="M39" s="8"/>
      <c r="N39" s="10"/>
      <c r="O39" s="11" t="str">
        <f aca="false">IF(N39="",IF(I39="Include","Include",J39),N39)</f>
        <v>EC6</v>
      </c>
      <c r="P39" s="11" t="s">
        <v>355</v>
      </c>
    </row>
    <row r="40" customFormat="false" ht="23.85" hidden="false" customHeight="false" outlineLevel="0" collapsed="false">
      <c r="A40" s="11" t="s">
        <v>356</v>
      </c>
      <c r="B40" s="11" t="s">
        <v>30</v>
      </c>
      <c r="C40" s="2" t="s">
        <v>357</v>
      </c>
      <c r="D40" s="11" t="n">
        <v>2026</v>
      </c>
      <c r="E40" s="11" t="s">
        <v>171</v>
      </c>
      <c r="F40" s="11" t="s">
        <v>358</v>
      </c>
      <c r="G40" s="11" t="s">
        <v>359</v>
      </c>
      <c r="H40" s="12" t="s">
        <v>360</v>
      </c>
      <c r="I40" s="11" t="s">
        <v>147</v>
      </c>
      <c r="J40" s="11"/>
      <c r="K40" s="11" t="s">
        <v>96</v>
      </c>
      <c r="L40" s="11" t="s">
        <v>99</v>
      </c>
      <c r="M40" s="11" t="s">
        <v>210</v>
      </c>
      <c r="N40" s="10"/>
      <c r="O40" s="11" t="str">
        <f aca="false">IF(N40="",IF(I40="Include","Include",J40),N40)</f>
        <v>Include</v>
      </c>
      <c r="P40" s="11" t="s">
        <v>361</v>
      </c>
    </row>
    <row r="41" customFormat="false" ht="23.85" hidden="false" customHeight="false" outlineLevel="0" collapsed="false">
      <c r="A41" s="11" t="s">
        <v>362</v>
      </c>
      <c r="B41" s="11" t="s">
        <v>30</v>
      </c>
      <c r="C41" s="2" t="s">
        <v>363</v>
      </c>
      <c r="D41" s="11" t="n">
        <v>2023</v>
      </c>
      <c r="E41" s="11" t="s">
        <v>143</v>
      </c>
      <c r="F41" s="11" t="s">
        <v>364</v>
      </c>
      <c r="G41" s="11" t="s">
        <v>190</v>
      </c>
      <c r="H41" s="12" t="s">
        <v>365</v>
      </c>
      <c r="I41" s="11" t="s">
        <v>147</v>
      </c>
      <c r="J41" s="11"/>
      <c r="K41" s="11" t="s">
        <v>96</v>
      </c>
      <c r="L41" s="11" t="s">
        <v>99</v>
      </c>
      <c r="M41" s="11" t="s">
        <v>148</v>
      </c>
      <c r="N41" s="10"/>
      <c r="O41" s="11" t="str">
        <f aca="false">IF(N41="",IF(I41="Include","Include",J41),N41)</f>
        <v>Include</v>
      </c>
      <c r="P41" s="11" t="s">
        <v>366</v>
      </c>
    </row>
    <row r="42" customFormat="false" ht="23.85" hidden="false" customHeight="false" outlineLevel="0" collapsed="false">
      <c r="A42" s="8" t="s">
        <v>367</v>
      </c>
      <c r="B42" s="8" t="s">
        <v>30</v>
      </c>
      <c r="C42" s="9" t="s">
        <v>368</v>
      </c>
      <c r="D42" s="8" t="n">
        <v>2024</v>
      </c>
      <c r="E42" s="8" t="s">
        <v>143</v>
      </c>
      <c r="F42" s="8" t="s">
        <v>369</v>
      </c>
      <c r="G42" s="8" t="s">
        <v>370</v>
      </c>
      <c r="H42" s="13" t="s">
        <v>371</v>
      </c>
      <c r="I42" s="8" t="s">
        <v>139</v>
      </c>
      <c r="J42" s="8" t="s">
        <v>87</v>
      </c>
      <c r="K42" s="8"/>
      <c r="L42" s="8"/>
      <c r="M42" s="8"/>
      <c r="N42" s="10"/>
      <c r="O42" s="11" t="str">
        <f aca="false">IF(N42="",IF(I42="Include","Include",J42),N42)</f>
        <v>EC7</v>
      </c>
      <c r="P42" s="11" t="s">
        <v>372</v>
      </c>
    </row>
    <row r="43" customFormat="false" ht="23.85" hidden="false" customHeight="false" outlineLevel="0" collapsed="false">
      <c r="A43" s="11" t="s">
        <v>373</v>
      </c>
      <c r="B43" s="11" t="s">
        <v>30</v>
      </c>
      <c r="C43" s="2" t="s">
        <v>374</v>
      </c>
      <c r="D43" s="11" t="n">
        <v>2019</v>
      </c>
      <c r="E43" s="11" t="s">
        <v>171</v>
      </c>
      <c r="F43" s="11" t="s">
        <v>375</v>
      </c>
      <c r="G43" s="11" t="s">
        <v>329</v>
      </c>
      <c r="H43" s="12" t="s">
        <v>376</v>
      </c>
      <c r="I43" s="11" t="s">
        <v>147</v>
      </c>
      <c r="J43" s="11"/>
      <c r="K43" s="11" t="s">
        <v>96</v>
      </c>
      <c r="L43" s="11" t="s">
        <v>99</v>
      </c>
      <c r="M43" s="11" t="s">
        <v>148</v>
      </c>
      <c r="N43" s="10"/>
      <c r="O43" s="11" t="str">
        <f aca="false">IF(N43="",IF(I43="Include","Include",J43),N43)</f>
        <v>Include</v>
      </c>
      <c r="P43" s="11" t="s">
        <v>377</v>
      </c>
    </row>
    <row r="44" customFormat="false" ht="23.85" hidden="false" customHeight="false" outlineLevel="0" collapsed="false">
      <c r="A44" s="11" t="s">
        <v>378</v>
      </c>
      <c r="B44" s="11" t="s">
        <v>30</v>
      </c>
      <c r="C44" s="2" t="s">
        <v>379</v>
      </c>
      <c r="D44" s="11" t="n">
        <v>2025</v>
      </c>
      <c r="E44" s="11" t="s">
        <v>171</v>
      </c>
      <c r="F44" s="11" t="s">
        <v>380</v>
      </c>
      <c r="G44" s="11" t="s">
        <v>381</v>
      </c>
      <c r="H44" s="12" t="s">
        <v>382</v>
      </c>
      <c r="I44" s="11" t="s">
        <v>147</v>
      </c>
      <c r="J44" s="11"/>
      <c r="K44" s="11" t="s">
        <v>96</v>
      </c>
      <c r="L44" s="11" t="s">
        <v>105</v>
      </c>
      <c r="M44" s="11" t="s">
        <v>161</v>
      </c>
      <c r="N44" s="10"/>
      <c r="O44" s="11" t="str">
        <f aca="false">IF(N44="",IF(I44="Include","Include",J44),N44)</f>
        <v>Include</v>
      </c>
      <c r="P44" s="11" t="s">
        <v>383</v>
      </c>
    </row>
    <row r="45" customFormat="false" ht="35.05" hidden="false" customHeight="false" outlineLevel="0" collapsed="false">
      <c r="A45" s="11" t="s">
        <v>384</v>
      </c>
      <c r="B45" s="11" t="s">
        <v>219</v>
      </c>
      <c r="C45" s="2" t="s">
        <v>385</v>
      </c>
      <c r="D45" s="11" t="n">
        <v>2026</v>
      </c>
      <c r="E45" s="11" t="s">
        <v>171</v>
      </c>
      <c r="F45" s="11" t="s">
        <v>386</v>
      </c>
      <c r="G45" s="11" t="s">
        <v>387</v>
      </c>
      <c r="H45" s="12" t="s">
        <v>388</v>
      </c>
      <c r="I45" s="11" t="s">
        <v>147</v>
      </c>
      <c r="J45" s="11"/>
      <c r="K45" s="11" t="s">
        <v>96</v>
      </c>
      <c r="L45" s="11" t="s">
        <v>99</v>
      </c>
      <c r="M45" s="11" t="s">
        <v>148</v>
      </c>
      <c r="N45" s="10"/>
      <c r="O45" s="11" t="str">
        <f aca="false">IF(N45="",IF(I45="Include","Include",J45),N45)</f>
        <v>Include</v>
      </c>
      <c r="P45" s="11" t="s">
        <v>389</v>
      </c>
    </row>
    <row r="46" customFormat="false" ht="23.85" hidden="false" customHeight="false" outlineLevel="0" collapsed="false">
      <c r="A46" s="11" t="s">
        <v>390</v>
      </c>
      <c r="B46" s="11" t="s">
        <v>30</v>
      </c>
      <c r="C46" s="2" t="s">
        <v>391</v>
      </c>
      <c r="D46" s="11" t="n">
        <v>2026</v>
      </c>
      <c r="E46" s="11" t="s">
        <v>143</v>
      </c>
      <c r="F46" s="11" t="s">
        <v>392</v>
      </c>
      <c r="G46" s="11" t="s">
        <v>393</v>
      </c>
      <c r="H46" s="12" t="s">
        <v>394</v>
      </c>
      <c r="I46" s="11" t="s">
        <v>147</v>
      </c>
      <c r="J46" s="11"/>
      <c r="K46" s="11" t="s">
        <v>96</v>
      </c>
      <c r="L46" s="11" t="s">
        <v>99</v>
      </c>
      <c r="M46" s="11" t="s">
        <v>210</v>
      </c>
      <c r="N46" s="10"/>
      <c r="O46" s="11" t="str">
        <f aca="false">IF(N46="",IF(I46="Include","Include",J46),N46)</f>
        <v>Include</v>
      </c>
      <c r="P46" s="11" t="s">
        <v>395</v>
      </c>
    </row>
    <row r="47" customFormat="false" ht="23.85" hidden="false" customHeight="false" outlineLevel="0" collapsed="false">
      <c r="A47" s="11" t="s">
        <v>396</v>
      </c>
      <c r="B47" s="11" t="s">
        <v>30</v>
      </c>
      <c r="C47" s="2" t="s">
        <v>397</v>
      </c>
      <c r="D47" s="11" t="n">
        <v>2025</v>
      </c>
      <c r="E47" s="11" t="s">
        <v>143</v>
      </c>
      <c r="F47" s="11" t="s">
        <v>398</v>
      </c>
      <c r="G47" s="11" t="s">
        <v>399</v>
      </c>
      <c r="H47" s="12" t="s">
        <v>400</v>
      </c>
      <c r="I47" s="11" t="s">
        <v>147</v>
      </c>
      <c r="J47" s="11"/>
      <c r="K47" s="11" t="s">
        <v>96</v>
      </c>
      <c r="L47" s="11" t="s">
        <v>105</v>
      </c>
      <c r="M47" s="11" t="s">
        <v>148</v>
      </c>
      <c r="N47" s="10"/>
      <c r="O47" s="11" t="str">
        <f aca="false">IF(N47="",IF(I47="Include","Include",J47),N47)</f>
        <v>Include</v>
      </c>
      <c r="P47" s="11" t="s">
        <v>401</v>
      </c>
    </row>
    <row r="48" customFormat="false" ht="23.85" hidden="false" customHeight="false" outlineLevel="0" collapsed="false">
      <c r="A48" s="11" t="s">
        <v>402</v>
      </c>
      <c r="B48" s="11" t="s">
        <v>30</v>
      </c>
      <c r="C48" s="2" t="s">
        <v>403</v>
      </c>
      <c r="D48" s="11" t="n">
        <v>2025</v>
      </c>
      <c r="E48" s="11" t="s">
        <v>143</v>
      </c>
      <c r="F48" s="11" t="s">
        <v>404</v>
      </c>
      <c r="G48" s="11" t="s">
        <v>405</v>
      </c>
      <c r="H48" s="12" t="s">
        <v>406</v>
      </c>
      <c r="I48" s="11" t="s">
        <v>147</v>
      </c>
      <c r="J48" s="11"/>
      <c r="K48" s="11" t="s">
        <v>96</v>
      </c>
      <c r="L48" s="11" t="s">
        <v>99</v>
      </c>
      <c r="M48" s="11" t="s">
        <v>148</v>
      </c>
      <c r="N48" s="10"/>
      <c r="O48" s="11" t="str">
        <f aca="false">IF(N48="",IF(I48="Include","Include",J48),N48)</f>
        <v>Include</v>
      </c>
      <c r="P48" s="11" t="s">
        <v>407</v>
      </c>
    </row>
    <row r="49" customFormat="false" ht="15" hidden="false" customHeight="false" outlineLevel="0" collapsed="false">
      <c r="A49" s="11" t="s">
        <v>408</v>
      </c>
      <c r="B49" s="11" t="s">
        <v>30</v>
      </c>
      <c r="C49" s="2" t="s">
        <v>409</v>
      </c>
      <c r="D49" s="11" t="n">
        <v>2022</v>
      </c>
      <c r="E49" s="11" t="s">
        <v>171</v>
      </c>
      <c r="F49" s="11" t="s">
        <v>410</v>
      </c>
      <c r="G49" s="11" t="s">
        <v>411</v>
      </c>
      <c r="H49" s="12" t="s">
        <v>412</v>
      </c>
      <c r="I49" s="11" t="s">
        <v>147</v>
      </c>
      <c r="J49" s="11"/>
      <c r="K49" s="11" t="s">
        <v>96</v>
      </c>
      <c r="L49" s="11" t="s">
        <v>99</v>
      </c>
      <c r="M49" s="11" t="s">
        <v>161</v>
      </c>
      <c r="N49" s="10"/>
      <c r="O49" s="11" t="str">
        <f aca="false">IF(N49="",IF(I49="Include","Include",J49),N49)</f>
        <v>Include</v>
      </c>
      <c r="P49" s="11" t="s">
        <v>413</v>
      </c>
    </row>
    <row r="50" customFormat="false" ht="15" hidden="false" customHeight="false" outlineLevel="0" collapsed="false">
      <c r="A50" s="11" t="s">
        <v>414</v>
      </c>
      <c r="B50" s="11" t="s">
        <v>30</v>
      </c>
      <c r="C50" s="2" t="s">
        <v>415</v>
      </c>
      <c r="D50" s="11" t="n">
        <v>2017</v>
      </c>
      <c r="E50" s="11" t="s">
        <v>143</v>
      </c>
      <c r="F50" s="11" t="s">
        <v>416</v>
      </c>
      <c r="G50" s="11" t="s">
        <v>417</v>
      </c>
      <c r="H50" s="12" t="s">
        <v>418</v>
      </c>
      <c r="I50" s="11" t="s">
        <v>147</v>
      </c>
      <c r="J50" s="11"/>
      <c r="K50" s="11" t="s">
        <v>96</v>
      </c>
      <c r="L50" s="11" t="s">
        <v>99</v>
      </c>
      <c r="M50" s="11" t="s">
        <v>148</v>
      </c>
      <c r="N50" s="10"/>
      <c r="O50" s="11" t="str">
        <f aca="false">IF(N50="",IF(I50="Include","Include",J50),N50)</f>
        <v>Include</v>
      </c>
      <c r="P50" s="11" t="s">
        <v>419</v>
      </c>
    </row>
    <row r="51" customFormat="false" ht="23.85" hidden="false" customHeight="false" outlineLevel="0" collapsed="false">
      <c r="A51" s="8" t="s">
        <v>420</v>
      </c>
      <c r="B51" s="8" t="s">
        <v>30</v>
      </c>
      <c r="C51" s="9" t="s">
        <v>421</v>
      </c>
      <c r="D51" s="8" t="n">
        <v>2025</v>
      </c>
      <c r="E51" s="8" t="s">
        <v>143</v>
      </c>
      <c r="F51" s="8" t="s">
        <v>422</v>
      </c>
      <c r="G51" s="8" t="s">
        <v>423</v>
      </c>
      <c r="H51" s="13" t="s">
        <v>424</v>
      </c>
      <c r="I51" s="8" t="s">
        <v>139</v>
      </c>
      <c r="J51" s="8" t="s">
        <v>85</v>
      </c>
      <c r="K51" s="8"/>
      <c r="L51" s="8"/>
      <c r="M51" s="8"/>
      <c r="N51" s="10"/>
      <c r="O51" s="11" t="str">
        <f aca="false">IF(N51="",IF(I51="Include","Include",J51),N51)</f>
        <v>EC6</v>
      </c>
      <c r="P51" s="11" t="s">
        <v>425</v>
      </c>
    </row>
    <row r="52" customFormat="false" ht="23.85" hidden="false" customHeight="false" outlineLevel="0" collapsed="false">
      <c r="A52" s="11" t="s">
        <v>426</v>
      </c>
      <c r="B52" s="11" t="s">
        <v>30</v>
      </c>
      <c r="C52" s="2" t="s">
        <v>427</v>
      </c>
      <c r="D52" s="11" t="n">
        <v>2025</v>
      </c>
      <c r="E52" s="11" t="s">
        <v>143</v>
      </c>
      <c r="F52" s="11" t="s">
        <v>428</v>
      </c>
      <c r="G52" s="11" t="s">
        <v>429</v>
      </c>
      <c r="H52" s="12" t="s">
        <v>430</v>
      </c>
      <c r="I52" s="11" t="s">
        <v>147</v>
      </c>
      <c r="J52" s="11"/>
      <c r="K52" s="11" t="s">
        <v>96</v>
      </c>
      <c r="L52" s="11" t="s">
        <v>101</v>
      </c>
      <c r="M52" s="11" t="s">
        <v>148</v>
      </c>
      <c r="N52" s="10"/>
      <c r="O52" s="11" t="str">
        <f aca="false">IF(N52="",IF(I52="Include","Include",J52),N52)</f>
        <v>Include</v>
      </c>
      <c r="P52" s="11" t="s">
        <v>431</v>
      </c>
    </row>
    <row r="53" customFormat="false" ht="23.85" hidden="false" customHeight="false" outlineLevel="0" collapsed="false">
      <c r="A53" s="11" t="s">
        <v>432</v>
      </c>
      <c r="B53" s="11" t="s">
        <v>30</v>
      </c>
      <c r="C53" s="2" t="s">
        <v>433</v>
      </c>
      <c r="D53" s="11" t="n">
        <v>2019</v>
      </c>
      <c r="E53" s="11" t="s">
        <v>143</v>
      </c>
      <c r="F53" s="11" t="s">
        <v>434</v>
      </c>
      <c r="G53" s="11" t="s">
        <v>435</v>
      </c>
      <c r="H53" s="12" t="s">
        <v>436</v>
      </c>
      <c r="I53" s="11" t="s">
        <v>147</v>
      </c>
      <c r="J53" s="11"/>
      <c r="K53" s="11" t="s">
        <v>96</v>
      </c>
      <c r="L53" s="11" t="s">
        <v>103</v>
      </c>
      <c r="M53" s="11" t="s">
        <v>161</v>
      </c>
      <c r="N53" s="10"/>
      <c r="O53" s="11" t="str">
        <f aca="false">IF(N53="",IF(I53="Include","Include",J53),N53)</f>
        <v>Include</v>
      </c>
      <c r="P53" s="11" t="s">
        <v>437</v>
      </c>
    </row>
    <row r="54" customFormat="false" ht="15" hidden="false" customHeight="false" outlineLevel="0" collapsed="false">
      <c r="A54" s="11" t="s">
        <v>438</v>
      </c>
      <c r="B54" s="11" t="s">
        <v>30</v>
      </c>
      <c r="C54" s="2" t="s">
        <v>439</v>
      </c>
      <c r="D54" s="11" t="n">
        <v>2025</v>
      </c>
      <c r="E54" s="11" t="s">
        <v>143</v>
      </c>
      <c r="F54" s="11" t="s">
        <v>440</v>
      </c>
      <c r="G54" s="11" t="s">
        <v>441</v>
      </c>
      <c r="H54" s="12" t="s">
        <v>442</v>
      </c>
      <c r="I54" s="11" t="s">
        <v>147</v>
      </c>
      <c r="J54" s="11"/>
      <c r="K54" s="11" t="s">
        <v>96</v>
      </c>
      <c r="L54" s="11" t="s">
        <v>101</v>
      </c>
      <c r="M54" s="11" t="s">
        <v>210</v>
      </c>
      <c r="N54" s="10"/>
      <c r="O54" s="11" t="str">
        <f aca="false">IF(N54="",IF(I54="Include","Include",J54),N54)</f>
        <v>Include</v>
      </c>
      <c r="P54" s="11" t="s">
        <v>443</v>
      </c>
    </row>
    <row r="55" customFormat="false" ht="23.85" hidden="false" customHeight="false" outlineLevel="0" collapsed="false">
      <c r="A55" s="8" t="s">
        <v>444</v>
      </c>
      <c r="B55" s="8" t="s">
        <v>30</v>
      </c>
      <c r="C55" s="9" t="s">
        <v>445</v>
      </c>
      <c r="D55" s="8" t="n">
        <v>2023</v>
      </c>
      <c r="E55" s="8" t="s">
        <v>143</v>
      </c>
      <c r="F55" s="8" t="s">
        <v>446</v>
      </c>
      <c r="G55" s="8" t="s">
        <v>447</v>
      </c>
      <c r="H55" s="13" t="s">
        <v>448</v>
      </c>
      <c r="I55" s="8" t="s">
        <v>139</v>
      </c>
      <c r="J55" s="8" t="s">
        <v>87</v>
      </c>
      <c r="K55" s="8"/>
      <c r="L55" s="8"/>
      <c r="M55" s="8"/>
      <c r="N55" s="10"/>
      <c r="O55" s="11" t="str">
        <f aca="false">IF(N55="",IF(I55="Include","Include",J55),N55)</f>
        <v>EC7</v>
      </c>
      <c r="P55" s="11" t="s">
        <v>449</v>
      </c>
    </row>
    <row r="56" customFormat="false" ht="23.85" hidden="false" customHeight="false" outlineLevel="0" collapsed="false">
      <c r="A56" s="8" t="s">
        <v>450</v>
      </c>
      <c r="B56" s="8" t="s">
        <v>30</v>
      </c>
      <c r="C56" s="9" t="s">
        <v>451</v>
      </c>
      <c r="D56" s="8" t="n">
        <v>2019</v>
      </c>
      <c r="E56" s="8" t="s">
        <v>143</v>
      </c>
      <c r="F56" s="8" t="s">
        <v>452</v>
      </c>
      <c r="G56" s="8" t="s">
        <v>453</v>
      </c>
      <c r="H56" s="13" t="s">
        <v>454</v>
      </c>
      <c r="I56" s="8" t="s">
        <v>139</v>
      </c>
      <c r="J56" s="8" t="s">
        <v>85</v>
      </c>
      <c r="K56" s="8"/>
      <c r="L56" s="8"/>
      <c r="M56" s="8"/>
      <c r="N56" s="10"/>
      <c r="O56" s="11" t="str">
        <f aca="false">IF(N56="",IF(I56="Include","Include",J56),N56)</f>
        <v>EC6</v>
      </c>
      <c r="P56" s="11" t="s">
        <v>455</v>
      </c>
    </row>
    <row r="57" customFormat="false" ht="23.85" hidden="false" customHeight="false" outlineLevel="0" collapsed="false">
      <c r="A57" s="11" t="s">
        <v>456</v>
      </c>
      <c r="B57" s="11" t="s">
        <v>30</v>
      </c>
      <c r="C57" s="2" t="s">
        <v>457</v>
      </c>
      <c r="D57" s="11" t="n">
        <v>2026</v>
      </c>
      <c r="E57" s="11" t="s">
        <v>171</v>
      </c>
      <c r="F57" s="11" t="s">
        <v>458</v>
      </c>
      <c r="G57" s="11" t="s">
        <v>459</v>
      </c>
      <c r="H57" s="12" t="s">
        <v>460</v>
      </c>
      <c r="I57" s="11" t="s">
        <v>147</v>
      </c>
      <c r="J57" s="11"/>
      <c r="K57" s="11" t="s">
        <v>96</v>
      </c>
      <c r="L57" s="11" t="s">
        <v>99</v>
      </c>
      <c r="M57" s="11" t="s">
        <v>161</v>
      </c>
      <c r="N57" s="10"/>
      <c r="O57" s="11" t="str">
        <f aca="false">IF(N57="",IF(I57="Include","Include",J57),N57)</f>
        <v>Include</v>
      </c>
      <c r="P57" s="11" t="s">
        <v>461</v>
      </c>
    </row>
    <row r="58" customFormat="false" ht="23.85" hidden="false" customHeight="false" outlineLevel="0" collapsed="false">
      <c r="A58" s="11" t="s">
        <v>462</v>
      </c>
      <c r="B58" s="11" t="s">
        <v>30</v>
      </c>
      <c r="C58" s="2" t="s">
        <v>463</v>
      </c>
      <c r="D58" s="11" t="n">
        <v>2023</v>
      </c>
      <c r="E58" s="11" t="s">
        <v>143</v>
      </c>
      <c r="F58" s="11" t="s">
        <v>464</v>
      </c>
      <c r="G58" s="11" t="s">
        <v>465</v>
      </c>
      <c r="H58" s="12" t="s">
        <v>466</v>
      </c>
      <c r="I58" s="11" t="s">
        <v>147</v>
      </c>
      <c r="J58" s="11"/>
      <c r="K58" s="11" t="s">
        <v>96</v>
      </c>
      <c r="L58" s="11" t="s">
        <v>105</v>
      </c>
      <c r="M58" s="11" t="s">
        <v>148</v>
      </c>
      <c r="N58" s="10"/>
      <c r="O58" s="11" t="str">
        <f aca="false">IF(N58="",IF(I58="Include","Include",J58),N58)</f>
        <v>Include</v>
      </c>
      <c r="P58" s="11" t="s">
        <v>467</v>
      </c>
    </row>
    <row r="59" customFormat="false" ht="23.85" hidden="false" customHeight="false" outlineLevel="0" collapsed="false">
      <c r="A59" s="8" t="s">
        <v>468</v>
      </c>
      <c r="B59" s="8" t="s">
        <v>30</v>
      </c>
      <c r="C59" s="9" t="s">
        <v>469</v>
      </c>
      <c r="D59" s="8" t="n">
        <v>2025</v>
      </c>
      <c r="E59" s="8" t="s">
        <v>171</v>
      </c>
      <c r="F59" s="8" t="s">
        <v>470</v>
      </c>
      <c r="G59" s="8" t="s">
        <v>471</v>
      </c>
      <c r="H59" s="13" t="s">
        <v>472</v>
      </c>
      <c r="I59" s="8" t="s">
        <v>139</v>
      </c>
      <c r="J59" s="8" t="s">
        <v>87</v>
      </c>
      <c r="K59" s="8"/>
      <c r="L59" s="8"/>
      <c r="M59" s="8"/>
      <c r="N59" s="10"/>
      <c r="O59" s="11" t="str">
        <f aca="false">IF(N59="",IF(I59="Include","Include",J59),N59)</f>
        <v>EC7</v>
      </c>
      <c r="P59" s="11" t="s">
        <v>473</v>
      </c>
    </row>
    <row r="60" customFormat="false" ht="23.85" hidden="false" customHeight="false" outlineLevel="0" collapsed="false">
      <c r="A60" s="8" t="s">
        <v>474</v>
      </c>
      <c r="B60" s="8" t="s">
        <v>30</v>
      </c>
      <c r="C60" s="9" t="s">
        <v>475</v>
      </c>
      <c r="D60" s="8" t="n">
        <v>2026</v>
      </c>
      <c r="E60" s="8" t="s">
        <v>171</v>
      </c>
      <c r="F60" s="8"/>
      <c r="G60" s="8" t="s">
        <v>476</v>
      </c>
      <c r="H60" s="8"/>
      <c r="I60" s="8" t="s">
        <v>139</v>
      </c>
      <c r="J60" s="8" t="s">
        <v>81</v>
      </c>
      <c r="K60" s="8"/>
      <c r="L60" s="8"/>
      <c r="M60" s="8"/>
      <c r="N60" s="10"/>
      <c r="O60" s="11" t="str">
        <f aca="false">IF(N60="",IF(I60="Include","Include",J60),N60)</f>
        <v>EC4</v>
      </c>
      <c r="P60" s="11" t="s">
        <v>477</v>
      </c>
    </row>
    <row r="61" customFormat="false" ht="23.85" hidden="false" customHeight="false" outlineLevel="0" collapsed="false">
      <c r="A61" s="11" t="s">
        <v>478</v>
      </c>
      <c r="B61" s="11" t="s">
        <v>219</v>
      </c>
      <c r="C61" s="2" t="s">
        <v>479</v>
      </c>
      <c r="D61" s="11" t="n">
        <v>2026</v>
      </c>
      <c r="E61" s="11" t="s">
        <v>143</v>
      </c>
      <c r="F61" s="11" t="s">
        <v>480</v>
      </c>
      <c r="G61" s="11" t="s">
        <v>481</v>
      </c>
      <c r="H61" s="12" t="s">
        <v>482</v>
      </c>
      <c r="I61" s="11" t="s">
        <v>147</v>
      </c>
      <c r="J61" s="11"/>
      <c r="K61" s="11" t="s">
        <v>96</v>
      </c>
      <c r="L61" s="11" t="s">
        <v>99</v>
      </c>
      <c r="M61" s="11" t="s">
        <v>148</v>
      </c>
      <c r="N61" s="10"/>
      <c r="O61" s="11" t="str">
        <f aca="false">IF(N61="",IF(I61="Include","Include",J61),N61)</f>
        <v>Include</v>
      </c>
      <c r="P61" s="11" t="s">
        <v>483</v>
      </c>
    </row>
    <row r="62" customFormat="false" ht="23.85" hidden="false" customHeight="false" outlineLevel="0" collapsed="false">
      <c r="A62" s="11" t="s">
        <v>484</v>
      </c>
      <c r="B62" s="11" t="s">
        <v>30</v>
      </c>
      <c r="C62" s="2" t="s">
        <v>485</v>
      </c>
      <c r="D62" s="11" t="n">
        <v>2025</v>
      </c>
      <c r="E62" s="11" t="s">
        <v>143</v>
      </c>
      <c r="F62" s="11" t="s">
        <v>486</v>
      </c>
      <c r="G62" s="11" t="s">
        <v>487</v>
      </c>
      <c r="H62" s="12" t="s">
        <v>488</v>
      </c>
      <c r="I62" s="11" t="s">
        <v>147</v>
      </c>
      <c r="J62" s="11"/>
      <c r="K62" s="11" t="s">
        <v>96</v>
      </c>
      <c r="L62" s="11" t="s">
        <v>99</v>
      </c>
      <c r="M62" s="11" t="s">
        <v>161</v>
      </c>
      <c r="N62" s="10"/>
      <c r="O62" s="11" t="str">
        <f aca="false">IF(N62="",IF(I62="Include","Include",J62),N62)</f>
        <v>Include</v>
      </c>
      <c r="P62" s="11" t="s">
        <v>489</v>
      </c>
    </row>
    <row r="63" customFormat="false" ht="23.85" hidden="false" customHeight="false" outlineLevel="0" collapsed="false">
      <c r="A63" s="11" t="s">
        <v>490</v>
      </c>
      <c r="B63" s="11" t="s">
        <v>30</v>
      </c>
      <c r="C63" s="2" t="s">
        <v>491</v>
      </c>
      <c r="D63" s="11" t="n">
        <v>2022</v>
      </c>
      <c r="E63" s="11" t="s">
        <v>171</v>
      </c>
      <c r="F63" s="11" t="s">
        <v>492</v>
      </c>
      <c r="G63" s="11" t="s">
        <v>387</v>
      </c>
      <c r="H63" s="12" t="s">
        <v>493</v>
      </c>
      <c r="I63" s="11" t="s">
        <v>147</v>
      </c>
      <c r="J63" s="11"/>
      <c r="K63" s="11" t="s">
        <v>96</v>
      </c>
      <c r="L63" s="11" t="s">
        <v>99</v>
      </c>
      <c r="M63" s="11" t="s">
        <v>161</v>
      </c>
      <c r="N63" s="10"/>
      <c r="O63" s="11" t="str">
        <f aca="false">IF(N63="",IF(I63="Include","Include",J63),N63)</f>
        <v>Include</v>
      </c>
      <c r="P63" s="11" t="s">
        <v>494</v>
      </c>
    </row>
    <row r="64" customFormat="false" ht="35.05" hidden="false" customHeight="false" outlineLevel="0" collapsed="false">
      <c r="A64" s="11" t="s">
        <v>495</v>
      </c>
      <c r="B64" s="11" t="s">
        <v>30</v>
      </c>
      <c r="C64" s="2" t="s">
        <v>496</v>
      </c>
      <c r="D64" s="11" t="n">
        <v>2026</v>
      </c>
      <c r="E64" s="11" t="s">
        <v>171</v>
      </c>
      <c r="F64" s="11" t="s">
        <v>497</v>
      </c>
      <c r="G64" s="11" t="s">
        <v>387</v>
      </c>
      <c r="H64" s="12" t="s">
        <v>498</v>
      </c>
      <c r="I64" s="11" t="s">
        <v>147</v>
      </c>
      <c r="J64" s="11"/>
      <c r="K64" s="11" t="s">
        <v>96</v>
      </c>
      <c r="L64" s="11" t="s">
        <v>97</v>
      </c>
      <c r="M64" s="11" t="s">
        <v>210</v>
      </c>
      <c r="N64" s="10"/>
      <c r="O64" s="11" t="str">
        <f aca="false">IF(N64="",IF(I64="Include","Include",J64),N64)</f>
        <v>Include</v>
      </c>
      <c r="P64" s="11" t="s">
        <v>499</v>
      </c>
    </row>
    <row r="65" customFormat="false" ht="23.85" hidden="false" customHeight="false" outlineLevel="0" collapsed="false">
      <c r="A65" s="11" t="s">
        <v>500</v>
      </c>
      <c r="B65" s="11" t="s">
        <v>30</v>
      </c>
      <c r="C65" s="2" t="s">
        <v>501</v>
      </c>
      <c r="D65" s="11" t="n">
        <v>2022</v>
      </c>
      <c r="E65" s="11" t="s">
        <v>171</v>
      </c>
      <c r="F65" s="11" t="s">
        <v>502</v>
      </c>
      <c r="G65" s="11" t="s">
        <v>387</v>
      </c>
      <c r="H65" s="12" t="s">
        <v>503</v>
      </c>
      <c r="I65" s="11" t="s">
        <v>147</v>
      </c>
      <c r="J65" s="11"/>
      <c r="K65" s="11" t="s">
        <v>96</v>
      </c>
      <c r="L65" s="11" t="s">
        <v>103</v>
      </c>
      <c r="M65" s="11" t="s">
        <v>161</v>
      </c>
      <c r="N65" s="10"/>
      <c r="O65" s="11" t="str">
        <f aca="false">IF(N65="",IF(I65="Include","Include",J65),N65)</f>
        <v>Include</v>
      </c>
      <c r="P65" s="11" t="s">
        <v>504</v>
      </c>
    </row>
    <row r="66" customFormat="false" ht="23.85" hidden="false" customHeight="false" outlineLevel="0" collapsed="false">
      <c r="A66" s="11" t="s">
        <v>505</v>
      </c>
      <c r="B66" s="11" t="s">
        <v>30</v>
      </c>
      <c r="C66" s="2" t="s">
        <v>506</v>
      </c>
      <c r="D66" s="11" t="n">
        <v>2026</v>
      </c>
      <c r="E66" s="11" t="s">
        <v>143</v>
      </c>
      <c r="F66" s="11" t="s">
        <v>507</v>
      </c>
      <c r="G66" s="11" t="s">
        <v>508</v>
      </c>
      <c r="H66" s="12" t="s">
        <v>509</v>
      </c>
      <c r="I66" s="11" t="s">
        <v>147</v>
      </c>
      <c r="J66" s="11"/>
      <c r="K66" s="11" t="s">
        <v>96</v>
      </c>
      <c r="L66" s="11" t="s">
        <v>99</v>
      </c>
      <c r="M66" s="11" t="s">
        <v>161</v>
      </c>
      <c r="N66" s="10"/>
      <c r="O66" s="11" t="str">
        <f aca="false">IF(N66="",IF(I66="Include","Include",J66),N66)</f>
        <v>Include</v>
      </c>
      <c r="P66" s="11" t="s">
        <v>510</v>
      </c>
    </row>
    <row r="67" customFormat="false" ht="15" hidden="false" customHeight="false" outlineLevel="0" collapsed="false">
      <c r="A67" s="11" t="s">
        <v>511</v>
      </c>
      <c r="B67" s="11" t="s">
        <v>30</v>
      </c>
      <c r="C67" s="2" t="s">
        <v>512</v>
      </c>
      <c r="D67" s="11" t="n">
        <v>2018</v>
      </c>
      <c r="E67" s="11" t="s">
        <v>143</v>
      </c>
      <c r="F67" s="11" t="s">
        <v>513</v>
      </c>
      <c r="G67" s="11" t="s">
        <v>514</v>
      </c>
      <c r="H67" s="12" t="s">
        <v>515</v>
      </c>
      <c r="I67" s="11" t="s">
        <v>147</v>
      </c>
      <c r="J67" s="11"/>
      <c r="K67" s="11" t="s">
        <v>96</v>
      </c>
      <c r="L67" s="11" t="s">
        <v>103</v>
      </c>
      <c r="M67" s="11" t="s">
        <v>148</v>
      </c>
      <c r="N67" s="10"/>
      <c r="O67" s="11" t="str">
        <f aca="false">IF(N67="",IF(I67="Include","Include",J67),N67)</f>
        <v>Include</v>
      </c>
      <c r="P67" s="11" t="s">
        <v>516</v>
      </c>
    </row>
    <row r="68" customFormat="false" ht="23.85" hidden="false" customHeight="false" outlineLevel="0" collapsed="false">
      <c r="A68" s="8" t="s">
        <v>517</v>
      </c>
      <c r="B68" s="8" t="s">
        <v>30</v>
      </c>
      <c r="C68" s="9" t="s">
        <v>518</v>
      </c>
      <c r="D68" s="8" t="n">
        <v>2026</v>
      </c>
      <c r="E68" s="8" t="s">
        <v>171</v>
      </c>
      <c r="F68" s="8" t="s">
        <v>519</v>
      </c>
      <c r="G68" s="8" t="s">
        <v>520</v>
      </c>
      <c r="H68" s="13" t="s">
        <v>521</v>
      </c>
      <c r="I68" s="8" t="s">
        <v>139</v>
      </c>
      <c r="J68" s="8" t="s">
        <v>85</v>
      </c>
      <c r="K68" s="8"/>
      <c r="L68" s="8"/>
      <c r="M68" s="8"/>
      <c r="N68" s="10"/>
      <c r="O68" s="11" t="str">
        <f aca="false">IF(N68="",IF(I68="Include","Include",J68),N68)</f>
        <v>EC6</v>
      </c>
      <c r="P68" s="11" t="s">
        <v>522</v>
      </c>
    </row>
    <row r="69" customFormat="false" ht="23.85" hidden="false" customHeight="false" outlineLevel="0" collapsed="false">
      <c r="A69" s="8" t="s">
        <v>523</v>
      </c>
      <c r="B69" s="8" t="s">
        <v>30</v>
      </c>
      <c r="C69" s="9" t="s">
        <v>524</v>
      </c>
      <c r="D69" s="8" t="n">
        <v>2025</v>
      </c>
      <c r="E69" s="8" t="s">
        <v>143</v>
      </c>
      <c r="F69" s="8" t="s">
        <v>525</v>
      </c>
      <c r="G69" s="8" t="s">
        <v>526</v>
      </c>
      <c r="H69" s="13" t="s">
        <v>527</v>
      </c>
      <c r="I69" s="8" t="s">
        <v>139</v>
      </c>
      <c r="J69" s="8" t="s">
        <v>87</v>
      </c>
      <c r="K69" s="8"/>
      <c r="L69" s="8"/>
      <c r="M69" s="8"/>
      <c r="N69" s="10"/>
      <c r="O69" s="11" t="str">
        <f aca="false">IF(N69="",IF(I69="Include","Include",J69),N69)</f>
        <v>EC7</v>
      </c>
      <c r="P69" s="11" t="s">
        <v>528</v>
      </c>
    </row>
    <row r="70" customFormat="false" ht="15" hidden="false" customHeight="false" outlineLevel="0" collapsed="false">
      <c r="A70" s="11" t="s">
        <v>529</v>
      </c>
      <c r="B70" s="11" t="s">
        <v>30</v>
      </c>
      <c r="C70" s="2" t="s">
        <v>530</v>
      </c>
      <c r="D70" s="11" t="n">
        <v>2023</v>
      </c>
      <c r="E70" s="11" t="s">
        <v>171</v>
      </c>
      <c r="F70" s="11" t="s">
        <v>531</v>
      </c>
      <c r="G70" s="11" t="s">
        <v>471</v>
      </c>
      <c r="H70" s="12" t="s">
        <v>532</v>
      </c>
      <c r="I70" s="11" t="s">
        <v>147</v>
      </c>
      <c r="J70" s="11"/>
      <c r="K70" s="11" t="s">
        <v>96</v>
      </c>
      <c r="L70" s="11" t="s">
        <v>103</v>
      </c>
      <c r="M70" s="11" t="s">
        <v>148</v>
      </c>
      <c r="N70" s="10"/>
      <c r="O70" s="11" t="str">
        <f aca="false">IF(N70="",IF(I70="Include","Include",J70),N70)</f>
        <v>Include</v>
      </c>
      <c r="P70" s="11" t="s">
        <v>533</v>
      </c>
    </row>
    <row r="71" customFormat="false" ht="23.85" hidden="false" customHeight="false" outlineLevel="0" collapsed="false">
      <c r="A71" s="11" t="s">
        <v>534</v>
      </c>
      <c r="B71" s="11" t="s">
        <v>30</v>
      </c>
      <c r="C71" s="2" t="s">
        <v>535</v>
      </c>
      <c r="D71" s="11" t="n">
        <v>2022</v>
      </c>
      <c r="E71" s="11" t="s">
        <v>171</v>
      </c>
      <c r="F71" s="11" t="s">
        <v>536</v>
      </c>
      <c r="G71" s="11" t="s">
        <v>471</v>
      </c>
      <c r="H71" s="12" t="s">
        <v>537</v>
      </c>
      <c r="I71" s="11" t="s">
        <v>147</v>
      </c>
      <c r="J71" s="11"/>
      <c r="K71" s="11" t="s">
        <v>96</v>
      </c>
      <c r="L71" s="11" t="s">
        <v>99</v>
      </c>
      <c r="M71" s="11" t="s">
        <v>161</v>
      </c>
      <c r="N71" s="10"/>
      <c r="O71" s="11" t="str">
        <f aca="false">IF(N71="",IF(I71="Include","Include",J71),N71)</f>
        <v>Include</v>
      </c>
      <c r="P71" s="11" t="s">
        <v>538</v>
      </c>
    </row>
    <row r="72" customFormat="false" ht="15" hidden="false" customHeight="false" outlineLevel="0" collapsed="false">
      <c r="A72" s="11" t="s">
        <v>539</v>
      </c>
      <c r="B72" s="11" t="s">
        <v>30</v>
      </c>
      <c r="C72" s="2" t="s">
        <v>540</v>
      </c>
      <c r="D72" s="11" t="n">
        <v>2024</v>
      </c>
      <c r="E72" s="11" t="s">
        <v>143</v>
      </c>
      <c r="F72" s="11" t="s">
        <v>541</v>
      </c>
      <c r="G72" s="11" t="s">
        <v>542</v>
      </c>
      <c r="H72" s="12" t="s">
        <v>543</v>
      </c>
      <c r="I72" s="11" t="s">
        <v>147</v>
      </c>
      <c r="J72" s="11"/>
      <c r="K72" s="11" t="s">
        <v>96</v>
      </c>
      <c r="L72" s="11" t="s">
        <v>99</v>
      </c>
      <c r="M72" s="11" t="s">
        <v>161</v>
      </c>
      <c r="N72" s="10"/>
      <c r="O72" s="11" t="str">
        <f aca="false">IF(N72="",IF(I72="Include","Include",J72),N72)</f>
        <v>Include</v>
      </c>
      <c r="P72" s="11" t="s">
        <v>544</v>
      </c>
    </row>
    <row r="73" customFormat="false" ht="23.85" hidden="false" customHeight="false" outlineLevel="0" collapsed="false">
      <c r="A73" s="11" t="s">
        <v>545</v>
      </c>
      <c r="B73" s="11" t="s">
        <v>219</v>
      </c>
      <c r="C73" s="2" t="s">
        <v>546</v>
      </c>
      <c r="D73" s="11" t="n">
        <v>2025</v>
      </c>
      <c r="E73" s="11" t="s">
        <v>143</v>
      </c>
      <c r="F73" s="11" t="s">
        <v>547</v>
      </c>
      <c r="G73" s="11" t="s">
        <v>548</v>
      </c>
      <c r="H73" s="12" t="s">
        <v>549</v>
      </c>
      <c r="I73" s="11" t="s">
        <v>147</v>
      </c>
      <c r="J73" s="11"/>
      <c r="K73" s="11" t="s">
        <v>109</v>
      </c>
      <c r="L73" s="11" t="s">
        <v>107</v>
      </c>
      <c r="M73" s="11" t="s">
        <v>210</v>
      </c>
      <c r="N73" s="10"/>
      <c r="O73" s="11" t="str">
        <f aca="false">IF(N73="",IF(I73="Include","Include",J73),N73)</f>
        <v>Include</v>
      </c>
      <c r="P73" s="11" t="s">
        <v>550</v>
      </c>
    </row>
    <row r="74" customFormat="false" ht="23.85" hidden="false" customHeight="false" outlineLevel="0" collapsed="false">
      <c r="A74" s="8" t="s">
        <v>551</v>
      </c>
      <c r="B74" s="8" t="s">
        <v>30</v>
      </c>
      <c r="C74" s="9" t="s">
        <v>552</v>
      </c>
      <c r="D74" s="8" t="n">
        <v>2025</v>
      </c>
      <c r="E74" s="8" t="s">
        <v>143</v>
      </c>
      <c r="F74" s="8" t="s">
        <v>553</v>
      </c>
      <c r="G74" s="8" t="s">
        <v>554</v>
      </c>
      <c r="H74" s="13" t="s">
        <v>555</v>
      </c>
      <c r="I74" s="8" t="s">
        <v>139</v>
      </c>
      <c r="J74" s="8" t="s">
        <v>87</v>
      </c>
      <c r="K74" s="8"/>
      <c r="L74" s="8"/>
      <c r="M74" s="8"/>
      <c r="N74" s="10"/>
      <c r="O74" s="11" t="str">
        <f aca="false">IF(N74="",IF(I74="Include","Include",J74),N74)</f>
        <v>EC7</v>
      </c>
      <c r="P74" s="11" t="s">
        <v>556</v>
      </c>
    </row>
    <row r="75" customFormat="false" ht="23.85" hidden="false" customHeight="false" outlineLevel="0" collapsed="false">
      <c r="A75" s="8" t="s">
        <v>557</v>
      </c>
      <c r="B75" s="8" t="s">
        <v>30</v>
      </c>
      <c r="C75" s="9" t="s">
        <v>558</v>
      </c>
      <c r="D75" s="8" t="n">
        <v>2026</v>
      </c>
      <c r="E75" s="8" t="s">
        <v>171</v>
      </c>
      <c r="F75" s="8" t="s">
        <v>559</v>
      </c>
      <c r="G75" s="8" t="s">
        <v>560</v>
      </c>
      <c r="H75" s="13" t="s">
        <v>561</v>
      </c>
      <c r="I75" s="8" t="s">
        <v>139</v>
      </c>
      <c r="J75" s="8" t="s">
        <v>85</v>
      </c>
      <c r="K75" s="8"/>
      <c r="L75" s="8"/>
      <c r="M75" s="8"/>
      <c r="N75" s="10"/>
      <c r="O75" s="11" t="str">
        <f aca="false">IF(N75="",IF(I75="Include","Include",J75),N75)</f>
        <v>EC6</v>
      </c>
      <c r="P75" s="11" t="s">
        <v>562</v>
      </c>
    </row>
    <row r="76" customFormat="false" ht="23.85" hidden="false" customHeight="false" outlineLevel="0" collapsed="false">
      <c r="A76" s="11" t="s">
        <v>563</v>
      </c>
      <c r="B76" s="11" t="s">
        <v>30</v>
      </c>
      <c r="C76" s="2" t="s">
        <v>564</v>
      </c>
      <c r="D76" s="11" t="n">
        <v>2021</v>
      </c>
      <c r="E76" s="11" t="s">
        <v>171</v>
      </c>
      <c r="F76" s="11" t="s">
        <v>565</v>
      </c>
      <c r="G76" s="11" t="s">
        <v>566</v>
      </c>
      <c r="H76" s="12" t="s">
        <v>567</v>
      </c>
      <c r="I76" s="11" t="s">
        <v>147</v>
      </c>
      <c r="J76" s="11"/>
      <c r="K76" s="11" t="s">
        <v>96</v>
      </c>
      <c r="L76" s="11" t="s">
        <v>99</v>
      </c>
      <c r="M76" s="11" t="s">
        <v>148</v>
      </c>
      <c r="N76" s="10"/>
      <c r="O76" s="11" t="str">
        <f aca="false">IF(N76="",IF(I76="Include","Include",J76),N76)</f>
        <v>Include</v>
      </c>
      <c r="P76" s="11" t="s">
        <v>568</v>
      </c>
    </row>
    <row r="77" customFormat="false" ht="23.85" hidden="false" customHeight="false" outlineLevel="0" collapsed="false">
      <c r="A77" s="8" t="s">
        <v>569</v>
      </c>
      <c r="B77" s="8" t="s">
        <v>30</v>
      </c>
      <c r="C77" s="9" t="s">
        <v>570</v>
      </c>
      <c r="D77" s="8" t="n">
        <v>2020</v>
      </c>
      <c r="E77" s="8" t="s">
        <v>143</v>
      </c>
      <c r="F77" s="8" t="s">
        <v>571</v>
      </c>
      <c r="G77" s="8" t="s">
        <v>572</v>
      </c>
      <c r="H77" s="13" t="s">
        <v>573</v>
      </c>
      <c r="I77" s="8" t="s">
        <v>139</v>
      </c>
      <c r="J77" s="8" t="s">
        <v>87</v>
      </c>
      <c r="K77" s="8"/>
      <c r="L77" s="8"/>
      <c r="M77" s="8"/>
      <c r="N77" s="10"/>
      <c r="O77" s="11" t="str">
        <f aca="false">IF(N77="",IF(I77="Include","Include",J77),N77)</f>
        <v>EC7</v>
      </c>
      <c r="P77" s="11" t="s">
        <v>574</v>
      </c>
    </row>
    <row r="78" customFormat="false" ht="23.85" hidden="false" customHeight="false" outlineLevel="0" collapsed="false">
      <c r="A78" s="8" t="s">
        <v>575</v>
      </c>
      <c r="B78" s="8" t="s">
        <v>30</v>
      </c>
      <c r="C78" s="9" t="s">
        <v>576</v>
      </c>
      <c r="D78" s="8" t="n">
        <v>2026</v>
      </c>
      <c r="E78" s="8" t="s">
        <v>577</v>
      </c>
      <c r="F78" s="8" t="s">
        <v>578</v>
      </c>
      <c r="G78" s="8" t="s">
        <v>579</v>
      </c>
      <c r="H78" s="8"/>
      <c r="I78" s="8" t="s">
        <v>139</v>
      </c>
      <c r="J78" s="8" t="s">
        <v>87</v>
      </c>
      <c r="K78" s="8"/>
      <c r="L78" s="8"/>
      <c r="M78" s="8"/>
      <c r="N78" s="10"/>
      <c r="O78" s="11" t="str">
        <f aca="false">IF(N78="",IF(I78="Include","Include",J78),N78)</f>
        <v>EC7</v>
      </c>
      <c r="P78" s="11" t="s">
        <v>580</v>
      </c>
    </row>
    <row r="79" customFormat="false" ht="23.85" hidden="false" customHeight="false" outlineLevel="0" collapsed="false">
      <c r="A79" s="8" t="s">
        <v>581</v>
      </c>
      <c r="B79" s="8" t="s">
        <v>30</v>
      </c>
      <c r="C79" s="9" t="s">
        <v>582</v>
      </c>
      <c r="D79" s="8" t="n">
        <v>2020</v>
      </c>
      <c r="E79" s="8" t="s">
        <v>143</v>
      </c>
      <c r="F79" s="8" t="s">
        <v>583</v>
      </c>
      <c r="G79" s="8" t="s">
        <v>584</v>
      </c>
      <c r="H79" s="13" t="s">
        <v>585</v>
      </c>
      <c r="I79" s="8" t="s">
        <v>139</v>
      </c>
      <c r="J79" s="8" t="s">
        <v>87</v>
      </c>
      <c r="K79" s="8"/>
      <c r="L79" s="8"/>
      <c r="M79" s="8"/>
      <c r="N79" s="10"/>
      <c r="O79" s="11" t="str">
        <f aca="false">IF(N79="",IF(I79="Include","Include",J79),N79)</f>
        <v>EC7</v>
      </c>
      <c r="P79" s="11" t="s">
        <v>586</v>
      </c>
    </row>
    <row r="80" customFormat="false" ht="23.85" hidden="false" customHeight="false" outlineLevel="0" collapsed="false">
      <c r="A80" s="11" t="s">
        <v>587</v>
      </c>
      <c r="B80" s="11" t="s">
        <v>30</v>
      </c>
      <c r="C80" s="2" t="s">
        <v>588</v>
      </c>
      <c r="D80" s="11" t="n">
        <v>2019</v>
      </c>
      <c r="E80" s="11" t="s">
        <v>143</v>
      </c>
      <c r="F80" s="11" t="s">
        <v>589</v>
      </c>
      <c r="G80" s="11" t="s">
        <v>215</v>
      </c>
      <c r="H80" s="12" t="s">
        <v>590</v>
      </c>
      <c r="I80" s="11" t="s">
        <v>147</v>
      </c>
      <c r="J80" s="11"/>
      <c r="K80" s="11" t="s">
        <v>96</v>
      </c>
      <c r="L80" s="11" t="s">
        <v>103</v>
      </c>
      <c r="M80" s="11" t="s">
        <v>161</v>
      </c>
      <c r="N80" s="10"/>
      <c r="O80" s="11" t="str">
        <f aca="false">IF(N80="",IF(I80="Include","Include",J80),N80)</f>
        <v>Include</v>
      </c>
      <c r="P80" s="11" t="s">
        <v>591</v>
      </c>
    </row>
    <row r="81" customFormat="false" ht="23.85" hidden="false" customHeight="false" outlineLevel="0" collapsed="false">
      <c r="A81" s="8" t="s">
        <v>592</v>
      </c>
      <c r="B81" s="8" t="s">
        <v>30</v>
      </c>
      <c r="C81" s="9" t="s">
        <v>593</v>
      </c>
      <c r="D81" s="8" t="n">
        <v>2021</v>
      </c>
      <c r="E81" s="8" t="s">
        <v>171</v>
      </c>
      <c r="F81" s="8" t="s">
        <v>594</v>
      </c>
      <c r="G81" s="8" t="s">
        <v>595</v>
      </c>
      <c r="H81" s="13" t="s">
        <v>596</v>
      </c>
      <c r="I81" s="8" t="s">
        <v>139</v>
      </c>
      <c r="J81" s="8" t="s">
        <v>85</v>
      </c>
      <c r="K81" s="8"/>
      <c r="L81" s="8"/>
      <c r="M81" s="8"/>
      <c r="N81" s="10"/>
      <c r="O81" s="11" t="str">
        <f aca="false">IF(N81="",IF(I81="Include","Include",J81),N81)</f>
        <v>EC6</v>
      </c>
      <c r="P81" s="11" t="s">
        <v>597</v>
      </c>
    </row>
    <row r="82" customFormat="false" ht="23.85" hidden="false" customHeight="false" outlineLevel="0" collapsed="false">
      <c r="A82" s="11" t="s">
        <v>598</v>
      </c>
      <c r="B82" s="11" t="s">
        <v>30</v>
      </c>
      <c r="C82" s="2" t="s">
        <v>599</v>
      </c>
      <c r="D82" s="11" t="n">
        <v>2024</v>
      </c>
      <c r="E82" s="11" t="s">
        <v>143</v>
      </c>
      <c r="F82" s="11" t="s">
        <v>600</v>
      </c>
      <c r="G82" s="11" t="s">
        <v>601</v>
      </c>
      <c r="H82" s="12" t="s">
        <v>602</v>
      </c>
      <c r="I82" s="11" t="s">
        <v>147</v>
      </c>
      <c r="J82" s="11"/>
      <c r="K82" s="11" t="s">
        <v>96</v>
      </c>
      <c r="L82" s="11" t="s">
        <v>99</v>
      </c>
      <c r="M82" s="11" t="s">
        <v>161</v>
      </c>
      <c r="N82" s="10"/>
      <c r="O82" s="11" t="str">
        <f aca="false">IF(N82="",IF(I82="Include","Include",J82),N82)</f>
        <v>Include</v>
      </c>
      <c r="P82" s="11" t="s">
        <v>603</v>
      </c>
    </row>
    <row r="83" customFormat="false" ht="35.05" hidden="false" customHeight="false" outlineLevel="0" collapsed="false">
      <c r="A83" s="8" t="s">
        <v>604</v>
      </c>
      <c r="B83" s="8" t="s">
        <v>30</v>
      </c>
      <c r="C83" s="9" t="s">
        <v>605</v>
      </c>
      <c r="D83" s="8" t="n">
        <v>2022</v>
      </c>
      <c r="E83" s="8" t="s">
        <v>143</v>
      </c>
      <c r="F83" s="8" t="s">
        <v>606</v>
      </c>
      <c r="G83" s="8" t="s">
        <v>607</v>
      </c>
      <c r="H83" s="13" t="s">
        <v>608</v>
      </c>
      <c r="I83" s="8" t="s">
        <v>139</v>
      </c>
      <c r="J83" s="8" t="s">
        <v>85</v>
      </c>
      <c r="K83" s="8"/>
      <c r="L83" s="8"/>
      <c r="M83" s="8"/>
      <c r="N83" s="10"/>
      <c r="O83" s="11" t="str">
        <f aca="false">IF(N83="",IF(I83="Include","Include",J83),N83)</f>
        <v>EC6</v>
      </c>
      <c r="P83" s="11" t="s">
        <v>609</v>
      </c>
    </row>
    <row r="84" customFormat="false" ht="23.85" hidden="false" customHeight="false" outlineLevel="0" collapsed="false">
      <c r="A84" s="11" t="s">
        <v>610</v>
      </c>
      <c r="B84" s="11" t="s">
        <v>30</v>
      </c>
      <c r="C84" s="2" t="s">
        <v>611</v>
      </c>
      <c r="D84" s="11" t="n">
        <v>2026</v>
      </c>
      <c r="E84" s="11" t="s">
        <v>143</v>
      </c>
      <c r="F84" s="11" t="s">
        <v>612</v>
      </c>
      <c r="G84" s="11" t="s">
        <v>613</v>
      </c>
      <c r="H84" s="12" t="s">
        <v>614</v>
      </c>
      <c r="I84" s="11" t="s">
        <v>147</v>
      </c>
      <c r="J84" s="11"/>
      <c r="K84" s="11" t="s">
        <v>96</v>
      </c>
      <c r="L84" s="11" t="s">
        <v>103</v>
      </c>
      <c r="M84" s="11" t="s">
        <v>148</v>
      </c>
      <c r="N84" s="10"/>
      <c r="O84" s="11" t="str">
        <f aca="false">IF(N84="",IF(I84="Include","Include",J84),N84)</f>
        <v>Include</v>
      </c>
      <c r="P84" s="11" t="s">
        <v>615</v>
      </c>
    </row>
    <row r="85" customFormat="false" ht="23.85" hidden="false" customHeight="false" outlineLevel="0" collapsed="false">
      <c r="A85" s="11" t="s">
        <v>616</v>
      </c>
      <c r="B85" s="11" t="s">
        <v>30</v>
      </c>
      <c r="C85" s="2" t="s">
        <v>617</v>
      </c>
      <c r="D85" s="11" t="n">
        <v>2024</v>
      </c>
      <c r="E85" s="11" t="s">
        <v>171</v>
      </c>
      <c r="F85" s="11" t="s">
        <v>618</v>
      </c>
      <c r="G85" s="11" t="s">
        <v>387</v>
      </c>
      <c r="H85" s="12" t="s">
        <v>619</v>
      </c>
      <c r="I85" s="11" t="s">
        <v>147</v>
      </c>
      <c r="J85" s="11"/>
      <c r="K85" s="11" t="s">
        <v>96</v>
      </c>
      <c r="L85" s="11" t="s">
        <v>99</v>
      </c>
      <c r="M85" s="11" t="s">
        <v>148</v>
      </c>
      <c r="N85" s="10"/>
      <c r="O85" s="11" t="str">
        <f aca="false">IF(N85="",IF(I85="Include","Include",J85),N85)</f>
        <v>Include</v>
      </c>
      <c r="P85" s="11" t="s">
        <v>620</v>
      </c>
    </row>
    <row r="86" customFormat="false" ht="23.85" hidden="false" customHeight="false" outlineLevel="0" collapsed="false">
      <c r="A86" s="11" t="s">
        <v>621</v>
      </c>
      <c r="B86" s="11" t="s">
        <v>30</v>
      </c>
      <c r="C86" s="2" t="s">
        <v>622</v>
      </c>
      <c r="D86" s="11" t="n">
        <v>2024</v>
      </c>
      <c r="E86" s="11" t="s">
        <v>143</v>
      </c>
      <c r="F86" s="11" t="s">
        <v>623</v>
      </c>
      <c r="G86" s="11" t="s">
        <v>291</v>
      </c>
      <c r="H86" s="12" t="s">
        <v>624</v>
      </c>
      <c r="I86" s="11" t="s">
        <v>147</v>
      </c>
      <c r="J86" s="11"/>
      <c r="K86" s="11" t="s">
        <v>96</v>
      </c>
      <c r="L86" s="11" t="s">
        <v>99</v>
      </c>
      <c r="M86" s="11" t="s">
        <v>161</v>
      </c>
      <c r="N86" s="10"/>
      <c r="O86" s="11" t="str">
        <f aca="false">IF(N86="",IF(I86="Include","Include",J86),N86)</f>
        <v>Include</v>
      </c>
      <c r="P86" s="11" t="s">
        <v>625</v>
      </c>
    </row>
    <row r="87" customFormat="false" ht="23.85" hidden="false" customHeight="false" outlineLevel="0" collapsed="false">
      <c r="A87" s="8" t="s">
        <v>626</v>
      </c>
      <c r="B87" s="8" t="s">
        <v>219</v>
      </c>
      <c r="C87" s="9" t="s">
        <v>627</v>
      </c>
      <c r="D87" s="8" t="n">
        <v>2026</v>
      </c>
      <c r="E87" s="8" t="s">
        <v>143</v>
      </c>
      <c r="F87" s="8" t="s">
        <v>628</v>
      </c>
      <c r="G87" s="8" t="s">
        <v>629</v>
      </c>
      <c r="H87" s="8"/>
      <c r="I87" s="8" t="s">
        <v>139</v>
      </c>
      <c r="J87" s="8" t="s">
        <v>87</v>
      </c>
      <c r="K87" s="8"/>
      <c r="L87" s="8"/>
      <c r="M87" s="8"/>
      <c r="N87" s="10"/>
      <c r="O87" s="11" t="str">
        <f aca="false">IF(N87="",IF(I87="Include","Include",J87),N87)</f>
        <v>EC7</v>
      </c>
      <c r="P87" s="11" t="s">
        <v>630</v>
      </c>
    </row>
    <row r="88" customFormat="false" ht="23.85" hidden="false" customHeight="false" outlineLevel="0" collapsed="false">
      <c r="A88" s="11" t="s">
        <v>631</v>
      </c>
      <c r="B88" s="11" t="s">
        <v>30</v>
      </c>
      <c r="C88" s="2" t="s">
        <v>632</v>
      </c>
      <c r="D88" s="11" t="n">
        <v>2021</v>
      </c>
      <c r="E88" s="11" t="s">
        <v>143</v>
      </c>
      <c r="F88" s="11" t="s">
        <v>633</v>
      </c>
      <c r="G88" s="11" t="s">
        <v>634</v>
      </c>
      <c r="H88" s="12" t="s">
        <v>635</v>
      </c>
      <c r="I88" s="11" t="s">
        <v>147</v>
      </c>
      <c r="J88" s="11"/>
      <c r="K88" s="11" t="s">
        <v>96</v>
      </c>
      <c r="L88" s="11" t="s">
        <v>103</v>
      </c>
      <c r="M88" s="11" t="s">
        <v>161</v>
      </c>
      <c r="N88" s="10"/>
      <c r="O88" s="11" t="str">
        <f aca="false">IF(N88="",IF(I88="Include","Include",J88),N88)</f>
        <v>Include</v>
      </c>
      <c r="P88" s="11" t="s">
        <v>636</v>
      </c>
    </row>
    <row r="89" customFormat="false" ht="23.85" hidden="false" customHeight="false" outlineLevel="0" collapsed="false">
      <c r="A89" s="11" t="s">
        <v>637</v>
      </c>
      <c r="B89" s="11" t="s">
        <v>219</v>
      </c>
      <c r="C89" s="2" t="s">
        <v>638</v>
      </c>
      <c r="D89" s="11" t="n">
        <v>2024</v>
      </c>
      <c r="E89" s="11" t="s">
        <v>171</v>
      </c>
      <c r="F89" s="11" t="s">
        <v>639</v>
      </c>
      <c r="G89" s="11" t="s">
        <v>640</v>
      </c>
      <c r="H89" s="12" t="s">
        <v>641</v>
      </c>
      <c r="I89" s="11" t="s">
        <v>147</v>
      </c>
      <c r="J89" s="11"/>
      <c r="K89" s="11" t="s">
        <v>96</v>
      </c>
      <c r="L89" s="11" t="s">
        <v>94</v>
      </c>
      <c r="M89" s="11" t="s">
        <v>210</v>
      </c>
      <c r="N89" s="10"/>
      <c r="O89" s="11" t="str">
        <f aca="false">IF(N89="",IF(I89="Include","Include",J89),N89)</f>
        <v>Include</v>
      </c>
      <c r="P89" s="11" t="s">
        <v>642</v>
      </c>
    </row>
    <row r="90" customFormat="false" ht="15" hidden="false" customHeight="false" outlineLevel="0" collapsed="false">
      <c r="A90" s="11" t="s">
        <v>643</v>
      </c>
      <c r="B90" s="11" t="s">
        <v>30</v>
      </c>
      <c r="C90" s="2" t="s">
        <v>644</v>
      </c>
      <c r="D90" s="11" t="n">
        <v>2018</v>
      </c>
      <c r="E90" s="11" t="s">
        <v>143</v>
      </c>
      <c r="F90" s="11" t="s">
        <v>645</v>
      </c>
      <c r="G90" s="11" t="s">
        <v>646</v>
      </c>
      <c r="H90" s="12" t="s">
        <v>647</v>
      </c>
      <c r="I90" s="11" t="s">
        <v>147</v>
      </c>
      <c r="J90" s="11"/>
      <c r="K90" s="11" t="s">
        <v>96</v>
      </c>
      <c r="L90" s="11" t="s">
        <v>99</v>
      </c>
      <c r="M90" s="11" t="s">
        <v>210</v>
      </c>
      <c r="N90" s="10"/>
      <c r="O90" s="11" t="str">
        <f aca="false">IF(N90="",IF(I90="Include","Include",J90),N90)</f>
        <v>Include</v>
      </c>
      <c r="P90" s="11" t="s">
        <v>648</v>
      </c>
    </row>
    <row r="91" customFormat="false" ht="23.85" hidden="false" customHeight="false" outlineLevel="0" collapsed="false">
      <c r="A91" s="8" t="s">
        <v>649</v>
      </c>
      <c r="B91" s="8" t="s">
        <v>219</v>
      </c>
      <c r="C91" s="9" t="s">
        <v>650</v>
      </c>
      <c r="D91" s="8" t="n">
        <v>2025</v>
      </c>
      <c r="E91" s="8" t="s">
        <v>143</v>
      </c>
      <c r="F91" s="8" t="s">
        <v>651</v>
      </c>
      <c r="G91" s="8" t="s">
        <v>652</v>
      </c>
      <c r="H91" s="13" t="s">
        <v>653</v>
      </c>
      <c r="I91" s="8" t="s">
        <v>139</v>
      </c>
      <c r="J91" s="8" t="s">
        <v>87</v>
      </c>
      <c r="K91" s="8"/>
      <c r="L91" s="8"/>
      <c r="M91" s="8"/>
      <c r="N91" s="10"/>
      <c r="O91" s="11" t="str">
        <f aca="false">IF(N91="",IF(I91="Include","Include",J91),N91)</f>
        <v>EC7</v>
      </c>
      <c r="P91" s="11" t="s">
        <v>654</v>
      </c>
    </row>
    <row r="92" customFormat="false" ht="23.85" hidden="false" customHeight="false" outlineLevel="0" collapsed="false">
      <c r="A92" s="8" t="s">
        <v>655</v>
      </c>
      <c r="B92" s="8" t="s">
        <v>30</v>
      </c>
      <c r="C92" s="9" t="s">
        <v>656</v>
      </c>
      <c r="D92" s="8" t="n">
        <v>2025</v>
      </c>
      <c r="E92" s="8" t="s">
        <v>143</v>
      </c>
      <c r="F92" s="8" t="s">
        <v>657</v>
      </c>
      <c r="G92" s="8" t="s">
        <v>658</v>
      </c>
      <c r="H92" s="13" t="s">
        <v>659</v>
      </c>
      <c r="I92" s="8" t="s">
        <v>139</v>
      </c>
      <c r="J92" s="8" t="s">
        <v>87</v>
      </c>
      <c r="K92" s="8"/>
      <c r="L92" s="8"/>
      <c r="M92" s="8"/>
      <c r="N92" s="10"/>
      <c r="O92" s="11" t="str">
        <f aca="false">IF(N92="",IF(I92="Include","Include",J92),N92)</f>
        <v>EC7</v>
      </c>
      <c r="P92" s="11" t="s">
        <v>660</v>
      </c>
    </row>
    <row r="93" customFormat="false" ht="15" hidden="false" customHeight="false" outlineLevel="0" collapsed="false">
      <c r="A93" s="11" t="s">
        <v>661</v>
      </c>
      <c r="B93" s="11" t="s">
        <v>30</v>
      </c>
      <c r="C93" s="2" t="s">
        <v>662</v>
      </c>
      <c r="D93" s="11" t="n">
        <v>2022</v>
      </c>
      <c r="E93" s="11" t="s">
        <v>171</v>
      </c>
      <c r="F93" s="11" t="s">
        <v>663</v>
      </c>
      <c r="G93" s="11" t="s">
        <v>664</v>
      </c>
      <c r="H93" s="12" t="s">
        <v>665</v>
      </c>
      <c r="I93" s="11" t="s">
        <v>147</v>
      </c>
      <c r="J93" s="11"/>
      <c r="K93" s="11" t="s">
        <v>96</v>
      </c>
      <c r="L93" s="11" t="s">
        <v>99</v>
      </c>
      <c r="M93" s="11" t="s">
        <v>161</v>
      </c>
      <c r="N93" s="10"/>
      <c r="O93" s="11" t="str">
        <f aca="false">IF(N93="",IF(I93="Include","Include",J93),N93)</f>
        <v>Include</v>
      </c>
      <c r="P93" s="11" t="s">
        <v>666</v>
      </c>
    </row>
    <row r="94" customFormat="false" ht="23.85" hidden="false" customHeight="false" outlineLevel="0" collapsed="false">
      <c r="A94" s="8" t="s">
        <v>667</v>
      </c>
      <c r="B94" s="8" t="s">
        <v>30</v>
      </c>
      <c r="C94" s="9" t="s">
        <v>668</v>
      </c>
      <c r="D94" s="8" t="n">
        <v>2022</v>
      </c>
      <c r="E94" s="8" t="s">
        <v>143</v>
      </c>
      <c r="F94" s="8" t="s">
        <v>669</v>
      </c>
      <c r="G94" s="8" t="s">
        <v>670</v>
      </c>
      <c r="H94" s="13" t="s">
        <v>671</v>
      </c>
      <c r="I94" s="8" t="s">
        <v>139</v>
      </c>
      <c r="J94" s="8" t="s">
        <v>75</v>
      </c>
      <c r="K94" s="8"/>
      <c r="L94" s="8"/>
      <c r="M94" s="8"/>
      <c r="N94" s="10"/>
      <c r="O94" s="11" t="str">
        <f aca="false">IF(N94="",IF(I94="Include","Include",J94),N94)</f>
        <v>EC1</v>
      </c>
      <c r="P94" s="11" t="s">
        <v>672</v>
      </c>
    </row>
    <row r="95" customFormat="false" ht="15" hidden="false" customHeight="false" outlineLevel="0" collapsed="false">
      <c r="A95" s="11" t="s">
        <v>673</v>
      </c>
      <c r="B95" s="11" t="s">
        <v>30</v>
      </c>
      <c r="C95" s="2" t="s">
        <v>674</v>
      </c>
      <c r="D95" s="11" t="n">
        <v>2023</v>
      </c>
      <c r="E95" s="11" t="s">
        <v>171</v>
      </c>
      <c r="F95" s="11" t="s">
        <v>675</v>
      </c>
      <c r="G95" s="11" t="s">
        <v>471</v>
      </c>
      <c r="H95" s="12" t="s">
        <v>676</v>
      </c>
      <c r="I95" s="11" t="s">
        <v>147</v>
      </c>
      <c r="J95" s="11"/>
      <c r="K95" s="11" t="s">
        <v>96</v>
      </c>
      <c r="L95" s="11" t="s">
        <v>99</v>
      </c>
      <c r="M95" s="11" t="s">
        <v>161</v>
      </c>
      <c r="N95" s="10"/>
      <c r="O95" s="11" t="str">
        <f aca="false">IF(N95="",IF(I95="Include","Include",J95),N95)</f>
        <v>Include</v>
      </c>
      <c r="P95" s="11" t="s">
        <v>677</v>
      </c>
    </row>
    <row r="96" customFormat="false" ht="23.85" hidden="false" customHeight="false" outlineLevel="0" collapsed="false">
      <c r="A96" s="8" t="s">
        <v>678</v>
      </c>
      <c r="B96" s="8" t="s">
        <v>30</v>
      </c>
      <c r="C96" s="9" t="s">
        <v>679</v>
      </c>
      <c r="D96" s="8" t="n">
        <v>2024</v>
      </c>
      <c r="E96" s="8" t="s">
        <v>171</v>
      </c>
      <c r="F96" s="8" t="s">
        <v>680</v>
      </c>
      <c r="G96" s="8" t="s">
        <v>459</v>
      </c>
      <c r="H96" s="13" t="s">
        <v>681</v>
      </c>
      <c r="I96" s="8" t="s">
        <v>139</v>
      </c>
      <c r="J96" s="8" t="s">
        <v>85</v>
      </c>
      <c r="K96" s="8"/>
      <c r="L96" s="8"/>
      <c r="M96" s="8"/>
      <c r="N96" s="10"/>
      <c r="O96" s="11" t="str">
        <f aca="false">IF(N96="",IF(I96="Include","Include",J96),N96)</f>
        <v>EC6</v>
      </c>
      <c r="P96" s="11" t="s">
        <v>682</v>
      </c>
    </row>
    <row r="97" customFormat="false" ht="23.85" hidden="false" customHeight="false" outlineLevel="0" collapsed="false">
      <c r="A97" s="11" t="s">
        <v>683</v>
      </c>
      <c r="B97" s="11" t="s">
        <v>30</v>
      </c>
      <c r="C97" s="2" t="s">
        <v>684</v>
      </c>
      <c r="D97" s="11" t="n">
        <v>2019</v>
      </c>
      <c r="E97" s="11" t="s">
        <v>171</v>
      </c>
      <c r="F97" s="11" t="s">
        <v>685</v>
      </c>
      <c r="G97" s="11" t="s">
        <v>208</v>
      </c>
      <c r="H97" s="12" t="s">
        <v>686</v>
      </c>
      <c r="I97" s="11" t="s">
        <v>147</v>
      </c>
      <c r="J97" s="11"/>
      <c r="K97" s="11" t="s">
        <v>96</v>
      </c>
      <c r="L97" s="11" t="s">
        <v>94</v>
      </c>
      <c r="M97" s="11" t="s">
        <v>148</v>
      </c>
      <c r="N97" s="10"/>
      <c r="O97" s="11" t="str">
        <f aca="false">IF(N97="",IF(I97="Include","Include",J97),N97)</f>
        <v>Include</v>
      </c>
      <c r="P97" s="11" t="s">
        <v>687</v>
      </c>
    </row>
    <row r="98" customFormat="false" ht="15" hidden="false" customHeight="false" outlineLevel="0" collapsed="false">
      <c r="A98" s="11" t="s">
        <v>688</v>
      </c>
      <c r="B98" s="11" t="s">
        <v>30</v>
      </c>
      <c r="C98" s="2" t="s">
        <v>689</v>
      </c>
      <c r="D98" s="11" t="n">
        <v>2020</v>
      </c>
      <c r="E98" s="11" t="s">
        <v>171</v>
      </c>
      <c r="F98" s="11" t="s">
        <v>690</v>
      </c>
      <c r="G98" s="11" t="s">
        <v>691</v>
      </c>
      <c r="H98" s="12" t="s">
        <v>692</v>
      </c>
      <c r="I98" s="11" t="s">
        <v>147</v>
      </c>
      <c r="J98" s="11"/>
      <c r="K98" s="11" t="s">
        <v>96</v>
      </c>
      <c r="L98" s="11" t="s">
        <v>94</v>
      </c>
      <c r="M98" s="11" t="s">
        <v>210</v>
      </c>
      <c r="N98" s="10"/>
      <c r="O98" s="11" t="str">
        <f aca="false">IF(N98="",IF(I98="Include","Include",J98),N98)</f>
        <v>Include</v>
      </c>
      <c r="P98" s="11" t="s">
        <v>693</v>
      </c>
    </row>
    <row r="99" customFormat="false" ht="23.85" hidden="false" customHeight="false" outlineLevel="0" collapsed="false">
      <c r="A99" s="8" t="s">
        <v>694</v>
      </c>
      <c r="B99" s="8" t="s">
        <v>30</v>
      </c>
      <c r="C99" s="9" t="s">
        <v>695</v>
      </c>
      <c r="D99" s="8" t="n">
        <v>2025</v>
      </c>
      <c r="E99" s="8" t="s">
        <v>143</v>
      </c>
      <c r="F99" s="8" t="s">
        <v>696</v>
      </c>
      <c r="G99" s="8" t="s">
        <v>697</v>
      </c>
      <c r="H99" s="13" t="s">
        <v>698</v>
      </c>
      <c r="I99" s="8" t="s">
        <v>139</v>
      </c>
      <c r="J99" s="8" t="s">
        <v>85</v>
      </c>
      <c r="K99" s="8"/>
      <c r="L99" s="8"/>
      <c r="M99" s="8"/>
      <c r="N99" s="10"/>
      <c r="O99" s="11" t="str">
        <f aca="false">IF(N99="",IF(I99="Include","Include",J99),N99)</f>
        <v>EC6</v>
      </c>
      <c r="P99" s="11" t="s">
        <v>699</v>
      </c>
    </row>
    <row r="100" customFormat="false" ht="23.85" hidden="false" customHeight="false" outlineLevel="0" collapsed="false">
      <c r="A100" s="11" t="s">
        <v>700</v>
      </c>
      <c r="B100" s="11" t="s">
        <v>30</v>
      </c>
      <c r="C100" s="2" t="s">
        <v>701</v>
      </c>
      <c r="D100" s="11" t="n">
        <v>2025</v>
      </c>
      <c r="E100" s="11" t="s">
        <v>143</v>
      </c>
      <c r="F100" s="11" t="s">
        <v>702</v>
      </c>
      <c r="G100" s="11" t="s">
        <v>703</v>
      </c>
      <c r="H100" s="12" t="s">
        <v>704</v>
      </c>
      <c r="I100" s="11" t="s">
        <v>147</v>
      </c>
      <c r="J100" s="11"/>
      <c r="K100" s="11" t="s">
        <v>96</v>
      </c>
      <c r="L100" s="11" t="s">
        <v>97</v>
      </c>
      <c r="M100" s="11" t="s">
        <v>210</v>
      </c>
      <c r="N100" s="10"/>
      <c r="O100" s="11" t="str">
        <f aca="false">IF(N100="",IF(I100="Include","Include",J100),N100)</f>
        <v>Include</v>
      </c>
      <c r="P100" s="11" t="s">
        <v>705</v>
      </c>
    </row>
    <row r="101" customFormat="false" ht="23.85" hidden="false" customHeight="false" outlineLevel="0" collapsed="false">
      <c r="A101" s="8" t="s">
        <v>706</v>
      </c>
      <c r="B101" s="8" t="s">
        <v>30</v>
      </c>
      <c r="C101" s="9" t="s">
        <v>707</v>
      </c>
      <c r="D101" s="8" t="n">
        <v>2022</v>
      </c>
      <c r="E101" s="8" t="s">
        <v>171</v>
      </c>
      <c r="F101" s="8" t="s">
        <v>452</v>
      </c>
      <c r="G101" s="8" t="s">
        <v>708</v>
      </c>
      <c r="H101" s="13" t="s">
        <v>709</v>
      </c>
      <c r="I101" s="8" t="s">
        <v>139</v>
      </c>
      <c r="J101" s="8" t="s">
        <v>85</v>
      </c>
      <c r="K101" s="8"/>
      <c r="L101" s="8"/>
      <c r="M101" s="8"/>
      <c r="N101" s="10"/>
      <c r="O101" s="11" t="str">
        <f aca="false">IF(N101="",IF(I101="Include","Include",J101),N101)</f>
        <v>EC6</v>
      </c>
      <c r="P101" s="11" t="s">
        <v>710</v>
      </c>
    </row>
    <row r="102" customFormat="false" ht="23.85" hidden="false" customHeight="false" outlineLevel="0" collapsed="false">
      <c r="A102" s="11" t="s">
        <v>711</v>
      </c>
      <c r="B102" s="11" t="s">
        <v>30</v>
      </c>
      <c r="C102" s="2" t="s">
        <v>712</v>
      </c>
      <c r="D102" s="11" t="n">
        <v>2020</v>
      </c>
      <c r="E102" s="11" t="s">
        <v>143</v>
      </c>
      <c r="F102" s="11" t="s">
        <v>713</v>
      </c>
      <c r="G102" s="11" t="s">
        <v>260</v>
      </c>
      <c r="H102" s="12" t="s">
        <v>714</v>
      </c>
      <c r="I102" s="11" t="s">
        <v>147</v>
      </c>
      <c r="J102" s="11"/>
      <c r="K102" s="11" t="s">
        <v>96</v>
      </c>
      <c r="L102" s="11" t="s">
        <v>105</v>
      </c>
      <c r="M102" s="11" t="s">
        <v>148</v>
      </c>
      <c r="N102" s="10"/>
      <c r="O102" s="11" t="str">
        <f aca="false">IF(N102="",IF(I102="Include","Include",J102),N102)</f>
        <v>Include</v>
      </c>
      <c r="P102" s="11" t="s">
        <v>715</v>
      </c>
    </row>
    <row r="103" customFormat="false" ht="23.85" hidden="false" customHeight="false" outlineLevel="0" collapsed="false">
      <c r="A103" s="11" t="s">
        <v>716</v>
      </c>
      <c r="B103" s="11" t="s">
        <v>30</v>
      </c>
      <c r="C103" s="2" t="s">
        <v>717</v>
      </c>
      <c r="D103" s="11" t="n">
        <v>2023</v>
      </c>
      <c r="E103" s="11" t="s">
        <v>143</v>
      </c>
      <c r="F103" s="11" t="s">
        <v>718</v>
      </c>
      <c r="G103" s="11" t="s">
        <v>719</v>
      </c>
      <c r="H103" s="11"/>
      <c r="I103" s="11" t="s">
        <v>147</v>
      </c>
      <c r="J103" s="11"/>
      <c r="K103" s="11" t="s">
        <v>96</v>
      </c>
      <c r="L103" s="11" t="s">
        <v>99</v>
      </c>
      <c r="M103" s="11" t="s">
        <v>161</v>
      </c>
      <c r="N103" s="10"/>
      <c r="O103" s="11" t="str">
        <f aca="false">IF(N103="",IF(I103="Include","Include",J103),N103)</f>
        <v>Include</v>
      </c>
      <c r="P103" s="11" t="s">
        <v>720</v>
      </c>
    </row>
    <row r="104" customFormat="false" ht="15" hidden="false" customHeight="false" outlineLevel="0" collapsed="false">
      <c r="A104" s="11" t="s">
        <v>721</v>
      </c>
      <c r="B104" s="11" t="s">
        <v>219</v>
      </c>
      <c r="C104" s="2" t="s">
        <v>722</v>
      </c>
      <c r="D104" s="11" t="n">
        <v>2024</v>
      </c>
      <c r="E104" s="11" t="s">
        <v>143</v>
      </c>
      <c r="F104" s="11" t="s">
        <v>723</v>
      </c>
      <c r="G104" s="11" t="s">
        <v>724</v>
      </c>
      <c r="H104" s="12" t="s">
        <v>725</v>
      </c>
      <c r="I104" s="11" t="s">
        <v>147</v>
      </c>
      <c r="J104" s="11"/>
      <c r="K104" s="11" t="s">
        <v>109</v>
      </c>
      <c r="L104" s="11" t="s">
        <v>107</v>
      </c>
      <c r="M104" s="11" t="s">
        <v>148</v>
      </c>
      <c r="N104" s="10"/>
      <c r="O104" s="11" t="str">
        <f aca="false">IF(N104="",IF(I104="Include","Include",J104),N104)</f>
        <v>Include</v>
      </c>
      <c r="P104" s="11" t="s">
        <v>726</v>
      </c>
    </row>
    <row r="105" customFormat="false" ht="23.85" hidden="false" customHeight="false" outlineLevel="0" collapsed="false">
      <c r="A105" s="8" t="s">
        <v>727</v>
      </c>
      <c r="B105" s="8" t="s">
        <v>30</v>
      </c>
      <c r="C105" s="9" t="s">
        <v>728</v>
      </c>
      <c r="D105" s="8" t="n">
        <v>2026</v>
      </c>
      <c r="E105" s="8" t="s">
        <v>171</v>
      </c>
      <c r="F105" s="8" t="s">
        <v>729</v>
      </c>
      <c r="G105" s="8" t="s">
        <v>208</v>
      </c>
      <c r="H105" s="13" t="s">
        <v>730</v>
      </c>
      <c r="I105" s="8" t="s">
        <v>139</v>
      </c>
      <c r="J105" s="8" t="s">
        <v>85</v>
      </c>
      <c r="K105" s="8"/>
      <c r="L105" s="8"/>
      <c r="M105" s="8"/>
      <c r="N105" s="10"/>
      <c r="O105" s="11" t="str">
        <f aca="false">IF(N105="",IF(I105="Include","Include",J105),N105)</f>
        <v>EC6</v>
      </c>
      <c r="P105" s="11" t="s">
        <v>731</v>
      </c>
    </row>
    <row r="106" customFormat="false" ht="23.85" hidden="false" customHeight="false" outlineLevel="0" collapsed="false">
      <c r="A106" s="8" t="s">
        <v>732</v>
      </c>
      <c r="B106" s="8" t="s">
        <v>30</v>
      </c>
      <c r="C106" s="9" t="s">
        <v>733</v>
      </c>
      <c r="D106" s="8" t="n">
        <v>2026</v>
      </c>
      <c r="E106" s="8" t="s">
        <v>143</v>
      </c>
      <c r="F106" s="8" t="s">
        <v>734</v>
      </c>
      <c r="G106" s="8" t="s">
        <v>735</v>
      </c>
      <c r="H106" s="13" t="s">
        <v>736</v>
      </c>
      <c r="I106" s="8" t="s">
        <v>139</v>
      </c>
      <c r="J106" s="8" t="s">
        <v>85</v>
      </c>
      <c r="K106" s="8"/>
      <c r="L106" s="8"/>
      <c r="M106" s="8"/>
      <c r="N106" s="10"/>
      <c r="O106" s="11" t="str">
        <f aca="false">IF(N106="",IF(I106="Include","Include",J106),N106)</f>
        <v>EC6</v>
      </c>
      <c r="P106" s="11" t="s">
        <v>737</v>
      </c>
    </row>
    <row r="107" customFormat="false" ht="23.85" hidden="false" customHeight="false" outlineLevel="0" collapsed="false">
      <c r="A107" s="11" t="s">
        <v>738</v>
      </c>
      <c r="B107" s="11" t="s">
        <v>30</v>
      </c>
      <c r="C107" s="2" t="s">
        <v>739</v>
      </c>
      <c r="D107" s="11" t="n">
        <v>2024</v>
      </c>
      <c r="E107" s="11" t="s">
        <v>143</v>
      </c>
      <c r="F107" s="11" t="s">
        <v>740</v>
      </c>
      <c r="G107" s="11" t="s">
        <v>724</v>
      </c>
      <c r="H107" s="12" t="s">
        <v>741</v>
      </c>
      <c r="I107" s="11" t="s">
        <v>147</v>
      </c>
      <c r="J107" s="11"/>
      <c r="K107" s="11" t="s">
        <v>96</v>
      </c>
      <c r="L107" s="11" t="s">
        <v>99</v>
      </c>
      <c r="M107" s="11" t="s">
        <v>161</v>
      </c>
      <c r="N107" s="10"/>
      <c r="O107" s="11" t="str">
        <f aca="false">IF(N107="",IF(I107="Include","Include",J107),N107)</f>
        <v>Include</v>
      </c>
      <c r="P107" s="11" t="s">
        <v>742</v>
      </c>
    </row>
    <row r="108" customFormat="false" ht="15" hidden="false" customHeight="false" outlineLevel="0" collapsed="false">
      <c r="A108" s="11" t="s">
        <v>743</v>
      </c>
      <c r="B108" s="11" t="s">
        <v>30</v>
      </c>
      <c r="C108" s="2" t="s">
        <v>744</v>
      </c>
      <c r="D108" s="11" t="n">
        <v>2025</v>
      </c>
      <c r="E108" s="11" t="s">
        <v>171</v>
      </c>
      <c r="F108" s="11" t="s">
        <v>745</v>
      </c>
      <c r="G108" s="11" t="s">
        <v>746</v>
      </c>
      <c r="H108" s="12" t="s">
        <v>747</v>
      </c>
      <c r="I108" s="11" t="s">
        <v>147</v>
      </c>
      <c r="J108" s="11"/>
      <c r="K108" s="11" t="s">
        <v>96</v>
      </c>
      <c r="L108" s="11" t="s">
        <v>99</v>
      </c>
      <c r="M108" s="11" t="s">
        <v>161</v>
      </c>
      <c r="N108" s="10"/>
      <c r="O108" s="11" t="str">
        <f aca="false">IF(N108="",IF(I108="Include","Include",J108),N108)</f>
        <v>Include</v>
      </c>
      <c r="P108" s="11" t="s">
        <v>748</v>
      </c>
    </row>
    <row r="109" customFormat="false" ht="23.85" hidden="false" customHeight="false" outlineLevel="0" collapsed="false">
      <c r="A109" s="11" t="s">
        <v>749</v>
      </c>
      <c r="B109" s="11" t="s">
        <v>30</v>
      </c>
      <c r="C109" s="2" t="s">
        <v>750</v>
      </c>
      <c r="D109" s="11" t="n">
        <v>2024</v>
      </c>
      <c r="E109" s="11" t="s">
        <v>143</v>
      </c>
      <c r="F109" s="11" t="s">
        <v>751</v>
      </c>
      <c r="G109" s="11" t="s">
        <v>752</v>
      </c>
      <c r="H109" s="12" t="s">
        <v>753</v>
      </c>
      <c r="I109" s="11" t="s">
        <v>147</v>
      </c>
      <c r="J109" s="11"/>
      <c r="K109" s="11" t="s">
        <v>96</v>
      </c>
      <c r="L109" s="11" t="s">
        <v>99</v>
      </c>
      <c r="M109" s="11" t="s">
        <v>148</v>
      </c>
      <c r="N109" s="10"/>
      <c r="O109" s="11" t="str">
        <f aca="false">IF(N109="",IF(I109="Include","Include",J109),N109)</f>
        <v>Include</v>
      </c>
      <c r="P109" s="11" t="s">
        <v>754</v>
      </c>
    </row>
    <row r="110" customFormat="false" ht="23.85" hidden="false" customHeight="false" outlineLevel="0" collapsed="false">
      <c r="A110" s="11" t="s">
        <v>755</v>
      </c>
      <c r="B110" s="11" t="s">
        <v>30</v>
      </c>
      <c r="C110" s="2" t="s">
        <v>756</v>
      </c>
      <c r="D110" s="11" t="n">
        <v>2026</v>
      </c>
      <c r="E110" s="11" t="s">
        <v>171</v>
      </c>
      <c r="F110" s="11" t="s">
        <v>757</v>
      </c>
      <c r="G110" s="11" t="s">
        <v>758</v>
      </c>
      <c r="H110" s="12" t="s">
        <v>759</v>
      </c>
      <c r="I110" s="11" t="s">
        <v>147</v>
      </c>
      <c r="J110" s="11"/>
      <c r="K110" s="11" t="s">
        <v>96</v>
      </c>
      <c r="L110" s="11" t="s">
        <v>99</v>
      </c>
      <c r="M110" s="11" t="s">
        <v>161</v>
      </c>
      <c r="N110" s="10"/>
      <c r="O110" s="11" t="str">
        <f aca="false">IF(N110="",IF(I110="Include","Include",J110),N110)</f>
        <v>Include</v>
      </c>
      <c r="P110" s="11" t="s">
        <v>760</v>
      </c>
    </row>
    <row r="111" customFormat="false" ht="23.85" hidden="false" customHeight="false" outlineLevel="0" collapsed="false">
      <c r="A111" s="11" t="s">
        <v>761</v>
      </c>
      <c r="B111" s="11" t="s">
        <v>30</v>
      </c>
      <c r="C111" s="2" t="s">
        <v>762</v>
      </c>
      <c r="D111" s="11" t="n">
        <v>2025</v>
      </c>
      <c r="E111" s="11" t="s">
        <v>171</v>
      </c>
      <c r="F111" s="11" t="s">
        <v>763</v>
      </c>
      <c r="G111" s="11" t="s">
        <v>764</v>
      </c>
      <c r="H111" s="12" t="s">
        <v>765</v>
      </c>
      <c r="I111" s="11" t="s">
        <v>147</v>
      </c>
      <c r="J111" s="11"/>
      <c r="K111" s="11" t="s">
        <v>96</v>
      </c>
      <c r="L111" s="11" t="s">
        <v>105</v>
      </c>
      <c r="M111" s="11" t="s">
        <v>148</v>
      </c>
      <c r="N111" s="10"/>
      <c r="O111" s="11" t="str">
        <f aca="false">IF(N111="",IF(I111="Include","Include",J111),N111)</f>
        <v>Include</v>
      </c>
      <c r="P111" s="11" t="s">
        <v>766</v>
      </c>
    </row>
    <row r="112" customFormat="false" ht="23.85" hidden="false" customHeight="false" outlineLevel="0" collapsed="false">
      <c r="A112" s="11" t="s">
        <v>767</v>
      </c>
      <c r="B112" s="11" t="s">
        <v>30</v>
      </c>
      <c r="C112" s="2" t="s">
        <v>768</v>
      </c>
      <c r="D112" s="11" t="n">
        <v>2026</v>
      </c>
      <c r="E112" s="11" t="s">
        <v>171</v>
      </c>
      <c r="F112" s="11" t="s">
        <v>769</v>
      </c>
      <c r="G112" s="11" t="s">
        <v>387</v>
      </c>
      <c r="H112" s="12" t="s">
        <v>770</v>
      </c>
      <c r="I112" s="11" t="s">
        <v>147</v>
      </c>
      <c r="J112" s="11"/>
      <c r="K112" s="11" t="s">
        <v>96</v>
      </c>
      <c r="L112" s="11" t="s">
        <v>99</v>
      </c>
      <c r="M112" s="11" t="s">
        <v>161</v>
      </c>
      <c r="N112" s="10"/>
      <c r="O112" s="11" t="str">
        <f aca="false">IF(N112="",IF(I112="Include","Include",J112),N112)</f>
        <v>Include</v>
      </c>
      <c r="P112" s="11" t="s">
        <v>771</v>
      </c>
    </row>
    <row r="113" customFormat="false" ht="15" hidden="false" customHeight="false" outlineLevel="0" collapsed="false">
      <c r="A113" s="8" t="s">
        <v>772</v>
      </c>
      <c r="B113" s="8" t="s">
        <v>30</v>
      </c>
      <c r="C113" s="9" t="s">
        <v>773</v>
      </c>
      <c r="D113" s="8" t="n">
        <v>2025</v>
      </c>
      <c r="E113" s="8" t="s">
        <v>577</v>
      </c>
      <c r="F113" s="8" t="s">
        <v>774</v>
      </c>
      <c r="G113" s="8" t="s">
        <v>775</v>
      </c>
      <c r="H113" s="13" t="s">
        <v>776</v>
      </c>
      <c r="I113" s="8" t="s">
        <v>139</v>
      </c>
      <c r="J113" s="8" t="s">
        <v>87</v>
      </c>
      <c r="K113" s="8"/>
      <c r="L113" s="8"/>
      <c r="M113" s="8"/>
      <c r="N113" s="10"/>
      <c r="O113" s="11" t="str">
        <f aca="false">IF(N113="",IF(I113="Include","Include",J113),N113)</f>
        <v>EC7</v>
      </c>
      <c r="P113" s="11" t="s">
        <v>777</v>
      </c>
    </row>
    <row r="114" customFormat="false" ht="23.85" hidden="false" customHeight="false" outlineLevel="0" collapsed="false">
      <c r="A114" s="11" t="s">
        <v>778</v>
      </c>
      <c r="B114" s="11" t="s">
        <v>30</v>
      </c>
      <c r="C114" s="2" t="s">
        <v>779</v>
      </c>
      <c r="D114" s="11" t="n">
        <v>2024</v>
      </c>
      <c r="E114" s="11" t="s">
        <v>171</v>
      </c>
      <c r="F114" s="11" t="s">
        <v>780</v>
      </c>
      <c r="G114" s="11" t="s">
        <v>471</v>
      </c>
      <c r="H114" s="12" t="s">
        <v>781</v>
      </c>
      <c r="I114" s="11" t="s">
        <v>147</v>
      </c>
      <c r="J114" s="11"/>
      <c r="K114" s="11" t="s">
        <v>96</v>
      </c>
      <c r="L114" s="11" t="s">
        <v>99</v>
      </c>
      <c r="M114" s="11" t="s">
        <v>161</v>
      </c>
      <c r="N114" s="10"/>
      <c r="O114" s="11" t="str">
        <f aca="false">IF(N114="",IF(I114="Include","Include",J114),N114)</f>
        <v>Include</v>
      </c>
      <c r="P114" s="11" t="s">
        <v>782</v>
      </c>
    </row>
    <row r="115" customFormat="false" ht="23.85" hidden="false" customHeight="false" outlineLevel="0" collapsed="false">
      <c r="A115" s="11" t="s">
        <v>783</v>
      </c>
      <c r="B115" s="11" t="s">
        <v>30</v>
      </c>
      <c r="C115" s="2" t="s">
        <v>784</v>
      </c>
      <c r="D115" s="11" t="n">
        <v>2024</v>
      </c>
      <c r="E115" s="11" t="s">
        <v>171</v>
      </c>
      <c r="F115" s="11" t="s">
        <v>785</v>
      </c>
      <c r="G115" s="11" t="s">
        <v>786</v>
      </c>
      <c r="H115" s="12" t="s">
        <v>787</v>
      </c>
      <c r="I115" s="11" t="s">
        <v>147</v>
      </c>
      <c r="J115" s="11"/>
      <c r="K115" s="11" t="s">
        <v>96</v>
      </c>
      <c r="L115" s="11" t="s">
        <v>99</v>
      </c>
      <c r="M115" s="11" t="s">
        <v>161</v>
      </c>
      <c r="N115" s="10"/>
      <c r="O115" s="11" t="str">
        <f aca="false">IF(N115="",IF(I115="Include","Include",J115),N115)</f>
        <v>Include</v>
      </c>
      <c r="P115" s="11" t="s">
        <v>788</v>
      </c>
    </row>
    <row r="116" customFormat="false" ht="35.05" hidden="false" customHeight="false" outlineLevel="0" collapsed="false">
      <c r="A116" s="8" t="s">
        <v>789</v>
      </c>
      <c r="B116" s="8" t="s">
        <v>30</v>
      </c>
      <c r="C116" s="9" t="s">
        <v>790</v>
      </c>
      <c r="D116" s="8" t="n">
        <v>2025</v>
      </c>
      <c r="E116" s="8" t="s">
        <v>143</v>
      </c>
      <c r="F116" s="8" t="s">
        <v>791</v>
      </c>
      <c r="G116" s="8" t="s">
        <v>792</v>
      </c>
      <c r="H116" s="13" t="s">
        <v>793</v>
      </c>
      <c r="I116" s="8" t="s">
        <v>139</v>
      </c>
      <c r="J116" s="8" t="s">
        <v>87</v>
      </c>
      <c r="K116" s="8"/>
      <c r="L116" s="8"/>
      <c r="M116" s="8"/>
      <c r="N116" s="10"/>
      <c r="O116" s="11" t="str">
        <f aca="false">IF(N116="",IF(I116="Include","Include",J116),N116)</f>
        <v>EC7</v>
      </c>
      <c r="P116" s="11" t="s">
        <v>794</v>
      </c>
    </row>
    <row r="117" customFormat="false" ht="15" hidden="false" customHeight="false" outlineLevel="0" collapsed="false">
      <c r="A117" s="11" t="s">
        <v>795</v>
      </c>
      <c r="B117" s="11" t="s">
        <v>30</v>
      </c>
      <c r="C117" s="2" t="s">
        <v>796</v>
      </c>
      <c r="D117" s="11" t="n">
        <v>2020</v>
      </c>
      <c r="E117" s="11" t="s">
        <v>171</v>
      </c>
      <c r="F117" s="11" t="s">
        <v>797</v>
      </c>
      <c r="G117" s="11" t="s">
        <v>746</v>
      </c>
      <c r="H117" s="12" t="s">
        <v>798</v>
      </c>
      <c r="I117" s="11" t="s">
        <v>147</v>
      </c>
      <c r="J117" s="11"/>
      <c r="K117" s="11" t="s">
        <v>96</v>
      </c>
      <c r="L117" s="11" t="s">
        <v>99</v>
      </c>
      <c r="M117" s="11" t="s">
        <v>148</v>
      </c>
      <c r="N117" s="10"/>
      <c r="O117" s="11" t="str">
        <f aca="false">IF(N117="",IF(I117="Include","Include",J117),N117)</f>
        <v>Include</v>
      </c>
      <c r="P117" s="11" t="s">
        <v>799</v>
      </c>
    </row>
    <row r="118" customFormat="false" ht="23.85" hidden="false" customHeight="false" outlineLevel="0" collapsed="false">
      <c r="A118" s="11" t="s">
        <v>800</v>
      </c>
      <c r="B118" s="11" t="s">
        <v>30</v>
      </c>
      <c r="C118" s="2" t="s">
        <v>801</v>
      </c>
      <c r="D118" s="11" t="n">
        <v>2020</v>
      </c>
      <c r="E118" s="11" t="s">
        <v>143</v>
      </c>
      <c r="F118" s="11" t="s">
        <v>802</v>
      </c>
      <c r="G118" s="11" t="s">
        <v>803</v>
      </c>
      <c r="H118" s="12" t="s">
        <v>804</v>
      </c>
      <c r="I118" s="11" t="s">
        <v>147</v>
      </c>
      <c r="J118" s="11"/>
      <c r="K118" s="11" t="s">
        <v>96</v>
      </c>
      <c r="L118" s="11" t="s">
        <v>99</v>
      </c>
      <c r="M118" s="11" t="s">
        <v>148</v>
      </c>
      <c r="N118" s="10"/>
      <c r="O118" s="11" t="str">
        <f aca="false">IF(N118="",IF(I118="Include","Include",J118),N118)</f>
        <v>Include</v>
      </c>
      <c r="P118" s="11" t="s">
        <v>805</v>
      </c>
    </row>
    <row r="119" customFormat="false" ht="15" hidden="false" customHeight="false" outlineLevel="0" collapsed="false">
      <c r="A119" s="11" t="s">
        <v>806</v>
      </c>
      <c r="B119" s="11" t="s">
        <v>30</v>
      </c>
      <c r="C119" s="2" t="s">
        <v>807</v>
      </c>
      <c r="D119" s="11" t="n">
        <v>2022</v>
      </c>
      <c r="E119" s="11" t="s">
        <v>143</v>
      </c>
      <c r="F119" s="11" t="s">
        <v>808</v>
      </c>
      <c r="G119" s="11" t="s">
        <v>202</v>
      </c>
      <c r="H119" s="12" t="s">
        <v>809</v>
      </c>
      <c r="I119" s="11" t="s">
        <v>147</v>
      </c>
      <c r="J119" s="11"/>
      <c r="K119" s="11" t="s">
        <v>96</v>
      </c>
      <c r="L119" s="11" t="s">
        <v>105</v>
      </c>
      <c r="M119" s="11" t="s">
        <v>148</v>
      </c>
      <c r="N119" s="10"/>
      <c r="O119" s="11" t="str">
        <f aca="false">IF(N119="",IF(I119="Include","Include",J119),N119)</f>
        <v>Include</v>
      </c>
      <c r="P119" s="11" t="s">
        <v>810</v>
      </c>
    </row>
    <row r="120" customFormat="false" ht="23.85" hidden="false" customHeight="false" outlineLevel="0" collapsed="false">
      <c r="A120" s="8" t="s">
        <v>811</v>
      </c>
      <c r="B120" s="8" t="s">
        <v>30</v>
      </c>
      <c r="C120" s="9" t="s">
        <v>812</v>
      </c>
      <c r="D120" s="8" t="n">
        <v>2023</v>
      </c>
      <c r="E120" s="8" t="s">
        <v>143</v>
      </c>
      <c r="F120" s="8" t="s">
        <v>813</v>
      </c>
      <c r="G120" s="8" t="s">
        <v>814</v>
      </c>
      <c r="H120" s="13" t="s">
        <v>815</v>
      </c>
      <c r="I120" s="8" t="s">
        <v>139</v>
      </c>
      <c r="J120" s="8" t="s">
        <v>81</v>
      </c>
      <c r="K120" s="8"/>
      <c r="L120" s="8"/>
      <c r="M120" s="8"/>
      <c r="N120" s="10"/>
      <c r="O120" s="11" t="str">
        <f aca="false">IF(N120="",IF(I120="Include","Include",J120),N120)</f>
        <v>EC4</v>
      </c>
      <c r="P120" s="11" t="s">
        <v>816</v>
      </c>
    </row>
    <row r="121" customFormat="false" ht="15" hidden="false" customHeight="false" outlineLevel="0" collapsed="false">
      <c r="A121" s="8" t="s">
        <v>817</v>
      </c>
      <c r="B121" s="8" t="s">
        <v>30</v>
      </c>
      <c r="C121" s="9" t="s">
        <v>818</v>
      </c>
      <c r="D121" s="8" t="n">
        <v>2024</v>
      </c>
      <c r="E121" s="8" t="s">
        <v>171</v>
      </c>
      <c r="F121" s="8" t="s">
        <v>819</v>
      </c>
      <c r="G121" s="8" t="s">
        <v>459</v>
      </c>
      <c r="H121" s="13" t="s">
        <v>820</v>
      </c>
      <c r="I121" s="8" t="s">
        <v>139</v>
      </c>
      <c r="J121" s="8" t="s">
        <v>87</v>
      </c>
      <c r="K121" s="8"/>
      <c r="L121" s="8"/>
      <c r="M121" s="8"/>
      <c r="N121" s="10"/>
      <c r="O121" s="11" t="str">
        <f aca="false">IF(N121="",IF(I121="Include","Include",J121),N121)</f>
        <v>EC7</v>
      </c>
      <c r="P121" s="11" t="s">
        <v>821</v>
      </c>
    </row>
    <row r="122" customFormat="false" ht="23.85" hidden="false" customHeight="false" outlineLevel="0" collapsed="false">
      <c r="A122" s="8" t="s">
        <v>822</v>
      </c>
      <c r="B122" s="8" t="s">
        <v>30</v>
      </c>
      <c r="C122" s="9" t="s">
        <v>823</v>
      </c>
      <c r="D122" s="8" t="n">
        <v>2023</v>
      </c>
      <c r="E122" s="8" t="s">
        <v>143</v>
      </c>
      <c r="F122" s="8" t="s">
        <v>824</v>
      </c>
      <c r="G122" s="8" t="s">
        <v>825</v>
      </c>
      <c r="H122" s="13" t="s">
        <v>826</v>
      </c>
      <c r="I122" s="8" t="s">
        <v>139</v>
      </c>
      <c r="J122" s="8" t="s">
        <v>87</v>
      </c>
      <c r="K122" s="8"/>
      <c r="L122" s="8"/>
      <c r="M122" s="8"/>
      <c r="N122" s="10"/>
      <c r="O122" s="11" t="str">
        <f aca="false">IF(N122="",IF(I122="Include","Include",J122),N122)</f>
        <v>EC7</v>
      </c>
      <c r="P122" s="11" t="s">
        <v>827</v>
      </c>
    </row>
    <row r="123" customFormat="false" ht="23.85" hidden="false" customHeight="false" outlineLevel="0" collapsed="false">
      <c r="A123" s="8" t="s">
        <v>828</v>
      </c>
      <c r="B123" s="8" t="s">
        <v>30</v>
      </c>
      <c r="C123" s="9" t="s">
        <v>829</v>
      </c>
      <c r="D123" s="8" t="n">
        <v>2025</v>
      </c>
      <c r="E123" s="8" t="s">
        <v>143</v>
      </c>
      <c r="F123" s="8" t="s">
        <v>830</v>
      </c>
      <c r="G123" s="8" t="s">
        <v>831</v>
      </c>
      <c r="H123" s="13" t="s">
        <v>832</v>
      </c>
      <c r="I123" s="8" t="s">
        <v>139</v>
      </c>
      <c r="J123" s="8" t="s">
        <v>85</v>
      </c>
      <c r="K123" s="8"/>
      <c r="L123" s="8"/>
      <c r="M123" s="8"/>
      <c r="N123" s="10"/>
      <c r="O123" s="11" t="str">
        <f aca="false">IF(N123="",IF(I123="Include","Include",J123),N123)</f>
        <v>EC6</v>
      </c>
      <c r="P123" s="11" t="s">
        <v>833</v>
      </c>
    </row>
    <row r="124" customFormat="false" ht="23.85" hidden="false" customHeight="false" outlineLevel="0" collapsed="false">
      <c r="A124" s="11" t="s">
        <v>834</v>
      </c>
      <c r="B124" s="11" t="s">
        <v>30</v>
      </c>
      <c r="C124" s="2" t="s">
        <v>835</v>
      </c>
      <c r="D124" s="11" t="n">
        <v>2022</v>
      </c>
      <c r="E124" s="11" t="s">
        <v>143</v>
      </c>
      <c r="F124" s="11" t="s">
        <v>836</v>
      </c>
      <c r="G124" s="11" t="s">
        <v>837</v>
      </c>
      <c r="H124" s="12" t="s">
        <v>838</v>
      </c>
      <c r="I124" s="11" t="s">
        <v>147</v>
      </c>
      <c r="J124" s="11"/>
      <c r="K124" s="11" t="s">
        <v>96</v>
      </c>
      <c r="L124" s="11" t="s">
        <v>99</v>
      </c>
      <c r="M124" s="11" t="s">
        <v>148</v>
      </c>
      <c r="N124" s="10"/>
      <c r="O124" s="11" t="str">
        <f aca="false">IF(N124="",IF(I124="Include","Include",J124),N124)</f>
        <v>Include</v>
      </c>
      <c r="P124" s="11" t="s">
        <v>839</v>
      </c>
    </row>
    <row r="125" customFormat="false" ht="23.85" hidden="false" customHeight="false" outlineLevel="0" collapsed="false">
      <c r="A125" s="11" t="s">
        <v>840</v>
      </c>
      <c r="B125" s="11" t="s">
        <v>30</v>
      </c>
      <c r="C125" s="2" t="s">
        <v>841</v>
      </c>
      <c r="D125" s="11" t="n">
        <v>2022</v>
      </c>
      <c r="E125" s="11" t="s">
        <v>143</v>
      </c>
      <c r="F125" s="11" t="s">
        <v>842</v>
      </c>
      <c r="G125" s="11" t="s">
        <v>843</v>
      </c>
      <c r="H125" s="12" t="s">
        <v>844</v>
      </c>
      <c r="I125" s="11" t="s">
        <v>147</v>
      </c>
      <c r="J125" s="11"/>
      <c r="K125" s="11" t="s">
        <v>96</v>
      </c>
      <c r="L125" s="11" t="s">
        <v>99</v>
      </c>
      <c r="M125" s="11" t="s">
        <v>161</v>
      </c>
      <c r="N125" s="10"/>
      <c r="O125" s="11" t="str">
        <f aca="false">IF(N125="",IF(I125="Include","Include",J125),N125)</f>
        <v>Include</v>
      </c>
      <c r="P125" s="11" t="s">
        <v>845</v>
      </c>
    </row>
    <row r="126" customFormat="false" ht="23.85" hidden="false" customHeight="false" outlineLevel="0" collapsed="false">
      <c r="A126" s="11" t="s">
        <v>846</v>
      </c>
      <c r="B126" s="11" t="s">
        <v>30</v>
      </c>
      <c r="C126" s="2" t="s">
        <v>847</v>
      </c>
      <c r="D126" s="11" t="n">
        <v>2020</v>
      </c>
      <c r="E126" s="11" t="s">
        <v>171</v>
      </c>
      <c r="F126" s="11" t="s">
        <v>513</v>
      </c>
      <c r="G126" s="11" t="s">
        <v>848</v>
      </c>
      <c r="H126" s="12" t="s">
        <v>849</v>
      </c>
      <c r="I126" s="11" t="s">
        <v>147</v>
      </c>
      <c r="J126" s="11"/>
      <c r="K126" s="11" t="s">
        <v>96</v>
      </c>
      <c r="L126" s="11" t="s">
        <v>103</v>
      </c>
      <c r="M126" s="11" t="s">
        <v>148</v>
      </c>
      <c r="N126" s="10"/>
      <c r="O126" s="11" t="str">
        <f aca="false">IF(N126="",IF(I126="Include","Include",J126),N126)</f>
        <v>Include</v>
      </c>
      <c r="P126" s="11" t="s">
        <v>850</v>
      </c>
    </row>
    <row r="127" customFormat="false" ht="23.85" hidden="false" customHeight="false" outlineLevel="0" collapsed="false">
      <c r="A127" s="11" t="s">
        <v>851</v>
      </c>
      <c r="B127" s="11" t="s">
        <v>30</v>
      </c>
      <c r="C127" s="2" t="s">
        <v>852</v>
      </c>
      <c r="D127" s="11" t="n">
        <v>2025</v>
      </c>
      <c r="E127" s="11" t="s">
        <v>143</v>
      </c>
      <c r="F127" s="11" t="s">
        <v>853</v>
      </c>
      <c r="G127" s="11" t="s">
        <v>854</v>
      </c>
      <c r="H127" s="12" t="s">
        <v>855</v>
      </c>
      <c r="I127" s="11" t="s">
        <v>147</v>
      </c>
      <c r="J127" s="11"/>
      <c r="K127" s="11" t="s">
        <v>96</v>
      </c>
      <c r="L127" s="11" t="s">
        <v>99</v>
      </c>
      <c r="M127" s="11" t="s">
        <v>148</v>
      </c>
      <c r="N127" s="10"/>
      <c r="O127" s="11" t="str">
        <f aca="false">IF(N127="",IF(I127="Include","Include",J127),N127)</f>
        <v>Include</v>
      </c>
      <c r="P127" s="11" t="s">
        <v>856</v>
      </c>
    </row>
    <row r="128" customFormat="false" ht="23.85" hidden="false" customHeight="false" outlineLevel="0" collapsed="false">
      <c r="A128" s="8" t="s">
        <v>857</v>
      </c>
      <c r="B128" s="8" t="s">
        <v>30</v>
      </c>
      <c r="C128" s="9" t="s">
        <v>858</v>
      </c>
      <c r="D128" s="8" t="n">
        <v>2024</v>
      </c>
      <c r="E128" s="8" t="s">
        <v>171</v>
      </c>
      <c r="F128" s="8" t="s">
        <v>859</v>
      </c>
      <c r="G128" s="8" t="s">
        <v>329</v>
      </c>
      <c r="H128" s="13" t="s">
        <v>860</v>
      </c>
      <c r="I128" s="8" t="s">
        <v>139</v>
      </c>
      <c r="J128" s="8" t="s">
        <v>87</v>
      </c>
      <c r="K128" s="8"/>
      <c r="L128" s="8"/>
      <c r="M128" s="8"/>
      <c r="N128" s="10"/>
      <c r="O128" s="11" t="str">
        <f aca="false">IF(N128="",IF(I128="Include","Include",J128),N128)</f>
        <v>EC7</v>
      </c>
      <c r="P128" s="11" t="s">
        <v>861</v>
      </c>
    </row>
    <row r="129" customFormat="false" ht="15" hidden="false" customHeight="false" outlineLevel="0" collapsed="false">
      <c r="A129" s="11" t="s">
        <v>862</v>
      </c>
      <c r="B129" s="11" t="s">
        <v>30</v>
      </c>
      <c r="C129" s="2" t="s">
        <v>863</v>
      </c>
      <c r="D129" s="11" t="n">
        <v>2024</v>
      </c>
      <c r="E129" s="11" t="s">
        <v>143</v>
      </c>
      <c r="F129" s="11" t="s">
        <v>864</v>
      </c>
      <c r="G129" s="11" t="s">
        <v>724</v>
      </c>
      <c r="H129" s="12" t="s">
        <v>865</v>
      </c>
      <c r="I129" s="11" t="s">
        <v>147</v>
      </c>
      <c r="J129" s="11"/>
      <c r="K129" s="11" t="s">
        <v>96</v>
      </c>
      <c r="L129" s="11" t="s">
        <v>101</v>
      </c>
      <c r="M129" s="11" t="s">
        <v>210</v>
      </c>
      <c r="N129" s="10"/>
      <c r="O129" s="11" t="str">
        <f aca="false">IF(N129="",IF(I129="Include","Include",J129),N129)</f>
        <v>Include</v>
      </c>
      <c r="P129" s="11" t="s">
        <v>866</v>
      </c>
    </row>
    <row r="130" customFormat="false" ht="23.85" hidden="false" customHeight="false" outlineLevel="0" collapsed="false">
      <c r="A130" s="11" t="s">
        <v>867</v>
      </c>
      <c r="B130" s="11" t="s">
        <v>30</v>
      </c>
      <c r="C130" s="2" t="s">
        <v>868</v>
      </c>
      <c r="D130" s="11" t="n">
        <v>2022</v>
      </c>
      <c r="E130" s="11" t="s">
        <v>143</v>
      </c>
      <c r="F130" s="11" t="s">
        <v>869</v>
      </c>
      <c r="G130" s="11" t="s">
        <v>870</v>
      </c>
      <c r="H130" s="12" t="s">
        <v>871</v>
      </c>
      <c r="I130" s="11" t="s">
        <v>147</v>
      </c>
      <c r="J130" s="11"/>
      <c r="K130" s="11" t="s">
        <v>96</v>
      </c>
      <c r="L130" s="11" t="s">
        <v>99</v>
      </c>
      <c r="M130" s="11" t="s">
        <v>161</v>
      </c>
      <c r="N130" s="10"/>
      <c r="O130" s="11" t="str">
        <f aca="false">IF(N130="",IF(I130="Include","Include",J130),N130)</f>
        <v>Include</v>
      </c>
      <c r="P130" s="11" t="s">
        <v>872</v>
      </c>
    </row>
    <row r="131" customFormat="false" ht="23.85" hidden="false" customHeight="false" outlineLevel="0" collapsed="false">
      <c r="A131" s="11" t="s">
        <v>873</v>
      </c>
      <c r="B131" s="11" t="s">
        <v>30</v>
      </c>
      <c r="C131" s="2" t="s">
        <v>874</v>
      </c>
      <c r="D131" s="11" t="n">
        <v>2024</v>
      </c>
      <c r="E131" s="11" t="s">
        <v>143</v>
      </c>
      <c r="F131" s="11" t="s">
        <v>875</v>
      </c>
      <c r="G131" s="11" t="s">
        <v>876</v>
      </c>
      <c r="H131" s="12" t="s">
        <v>877</v>
      </c>
      <c r="I131" s="11" t="s">
        <v>147</v>
      </c>
      <c r="J131" s="11"/>
      <c r="K131" s="11" t="s">
        <v>96</v>
      </c>
      <c r="L131" s="11" t="s">
        <v>105</v>
      </c>
      <c r="M131" s="11" t="s">
        <v>161</v>
      </c>
      <c r="N131" s="10"/>
      <c r="O131" s="11" t="str">
        <f aca="false">IF(N131="",IF(I131="Include","Include",J131),N131)</f>
        <v>Include</v>
      </c>
      <c r="P131" s="11" t="s">
        <v>878</v>
      </c>
    </row>
    <row r="132" customFormat="false" ht="23.85" hidden="false" customHeight="false" outlineLevel="0" collapsed="false">
      <c r="A132" s="11" t="s">
        <v>879</v>
      </c>
      <c r="B132" s="11" t="s">
        <v>30</v>
      </c>
      <c r="C132" s="2" t="s">
        <v>880</v>
      </c>
      <c r="D132" s="11" t="n">
        <v>2019</v>
      </c>
      <c r="E132" s="11" t="s">
        <v>143</v>
      </c>
      <c r="F132" s="11" t="s">
        <v>881</v>
      </c>
      <c r="G132" s="11" t="s">
        <v>882</v>
      </c>
      <c r="H132" s="12" t="s">
        <v>883</v>
      </c>
      <c r="I132" s="11" t="s">
        <v>147</v>
      </c>
      <c r="J132" s="11"/>
      <c r="K132" s="11" t="s">
        <v>96</v>
      </c>
      <c r="L132" s="11" t="s">
        <v>103</v>
      </c>
      <c r="M132" s="11" t="s">
        <v>161</v>
      </c>
      <c r="N132" s="10"/>
      <c r="O132" s="11" t="str">
        <f aca="false">IF(N132="",IF(I132="Include","Include",J132),N132)</f>
        <v>Include</v>
      </c>
      <c r="P132" s="11" t="s">
        <v>884</v>
      </c>
    </row>
    <row r="133" customFormat="false" ht="23.85" hidden="false" customHeight="false" outlineLevel="0" collapsed="false">
      <c r="A133" s="8" t="s">
        <v>885</v>
      </c>
      <c r="B133" s="8" t="s">
        <v>30</v>
      </c>
      <c r="C133" s="9" t="s">
        <v>886</v>
      </c>
      <c r="D133" s="8" t="n">
        <v>2018</v>
      </c>
      <c r="E133" s="8" t="s">
        <v>143</v>
      </c>
      <c r="F133" s="8" t="s">
        <v>887</v>
      </c>
      <c r="G133" s="8" t="s">
        <v>888</v>
      </c>
      <c r="H133" s="13" t="s">
        <v>889</v>
      </c>
      <c r="I133" s="8" t="s">
        <v>139</v>
      </c>
      <c r="J133" s="8" t="s">
        <v>85</v>
      </c>
      <c r="K133" s="8"/>
      <c r="L133" s="8"/>
      <c r="M133" s="8"/>
      <c r="N133" s="10"/>
      <c r="O133" s="11" t="str">
        <f aca="false">IF(N133="",IF(I133="Include","Include",J133),N133)</f>
        <v>EC6</v>
      </c>
      <c r="P133" s="11" t="s">
        <v>890</v>
      </c>
    </row>
    <row r="134" customFormat="false" ht="23.85" hidden="false" customHeight="false" outlineLevel="0" collapsed="false">
      <c r="A134" s="11" t="s">
        <v>891</v>
      </c>
      <c r="B134" s="11" t="s">
        <v>30</v>
      </c>
      <c r="C134" s="2" t="s">
        <v>892</v>
      </c>
      <c r="D134" s="11" t="n">
        <v>2025</v>
      </c>
      <c r="E134" s="11" t="s">
        <v>171</v>
      </c>
      <c r="F134" s="11" t="s">
        <v>893</v>
      </c>
      <c r="G134" s="11" t="s">
        <v>560</v>
      </c>
      <c r="H134" s="12" t="s">
        <v>894</v>
      </c>
      <c r="I134" s="11" t="s">
        <v>147</v>
      </c>
      <c r="J134" s="11"/>
      <c r="K134" s="11" t="s">
        <v>96</v>
      </c>
      <c r="L134" s="11" t="s">
        <v>101</v>
      </c>
      <c r="M134" s="11" t="s">
        <v>148</v>
      </c>
      <c r="N134" s="10"/>
      <c r="O134" s="11" t="str">
        <f aca="false">IF(N134="",IF(I134="Include","Include",J134),N134)</f>
        <v>Include</v>
      </c>
      <c r="P134" s="11" t="s">
        <v>895</v>
      </c>
    </row>
    <row r="135" customFormat="false" ht="23.85" hidden="false" customHeight="false" outlineLevel="0" collapsed="false">
      <c r="A135" s="11" t="s">
        <v>896</v>
      </c>
      <c r="B135" s="11" t="s">
        <v>30</v>
      </c>
      <c r="C135" s="2" t="s">
        <v>897</v>
      </c>
      <c r="D135" s="11" t="n">
        <v>2019</v>
      </c>
      <c r="E135" s="11" t="s">
        <v>171</v>
      </c>
      <c r="F135" s="11" t="s">
        <v>898</v>
      </c>
      <c r="G135" s="11" t="s">
        <v>329</v>
      </c>
      <c r="H135" s="12" t="s">
        <v>899</v>
      </c>
      <c r="I135" s="11" t="s">
        <v>147</v>
      </c>
      <c r="J135" s="11"/>
      <c r="K135" s="11" t="s">
        <v>96</v>
      </c>
      <c r="L135" s="11" t="s">
        <v>99</v>
      </c>
      <c r="M135" s="11" t="s">
        <v>148</v>
      </c>
      <c r="N135" s="10"/>
      <c r="O135" s="11" t="str">
        <f aca="false">IF(N135="",IF(I135="Include","Include",J135),N135)</f>
        <v>Include</v>
      </c>
      <c r="P135" s="11" t="s">
        <v>900</v>
      </c>
    </row>
    <row r="136" customFormat="false" ht="23.85" hidden="false" customHeight="false" outlineLevel="0" collapsed="false">
      <c r="A136" s="11" t="s">
        <v>901</v>
      </c>
      <c r="B136" s="11" t="s">
        <v>30</v>
      </c>
      <c r="C136" s="2" t="s">
        <v>902</v>
      </c>
      <c r="D136" s="11" t="n">
        <v>2024</v>
      </c>
      <c r="E136" s="11" t="s">
        <v>143</v>
      </c>
      <c r="F136" s="11" t="s">
        <v>903</v>
      </c>
      <c r="G136" s="11" t="s">
        <v>904</v>
      </c>
      <c r="H136" s="12" t="s">
        <v>905</v>
      </c>
      <c r="I136" s="11" t="s">
        <v>147</v>
      </c>
      <c r="J136" s="11"/>
      <c r="K136" s="11" t="s">
        <v>96</v>
      </c>
      <c r="L136" s="11" t="s">
        <v>99</v>
      </c>
      <c r="M136" s="11" t="s">
        <v>161</v>
      </c>
      <c r="N136" s="10"/>
      <c r="O136" s="11" t="str">
        <f aca="false">IF(N136="",IF(I136="Include","Include",J136),N136)</f>
        <v>Include</v>
      </c>
      <c r="P136" s="11" t="s">
        <v>906</v>
      </c>
    </row>
    <row r="137" customFormat="false" ht="23.85" hidden="false" customHeight="false" outlineLevel="0" collapsed="false">
      <c r="A137" s="11" t="s">
        <v>907</v>
      </c>
      <c r="B137" s="11" t="s">
        <v>30</v>
      </c>
      <c r="C137" s="2" t="s">
        <v>908</v>
      </c>
      <c r="D137" s="11" t="n">
        <v>2024</v>
      </c>
      <c r="E137" s="11" t="s">
        <v>143</v>
      </c>
      <c r="F137" s="11" t="s">
        <v>909</v>
      </c>
      <c r="G137" s="11" t="s">
        <v>910</v>
      </c>
      <c r="H137" s="12" t="s">
        <v>911</v>
      </c>
      <c r="I137" s="11" t="s">
        <v>147</v>
      </c>
      <c r="J137" s="11"/>
      <c r="K137" s="11" t="s">
        <v>96</v>
      </c>
      <c r="L137" s="11" t="s">
        <v>103</v>
      </c>
      <c r="M137" s="11" t="s">
        <v>161</v>
      </c>
      <c r="N137" s="10"/>
      <c r="O137" s="11" t="str">
        <f aca="false">IF(N137="",IF(I137="Include","Include",J137),N137)</f>
        <v>Include</v>
      </c>
      <c r="P137" s="11" t="s">
        <v>912</v>
      </c>
    </row>
    <row r="138" customFormat="false" ht="23.85" hidden="false" customHeight="false" outlineLevel="0" collapsed="false">
      <c r="A138" s="11" t="s">
        <v>913</v>
      </c>
      <c r="B138" s="11" t="s">
        <v>30</v>
      </c>
      <c r="C138" s="2" t="s">
        <v>914</v>
      </c>
      <c r="D138" s="11" t="n">
        <v>2023</v>
      </c>
      <c r="E138" s="11" t="s">
        <v>171</v>
      </c>
      <c r="F138" s="11" t="s">
        <v>492</v>
      </c>
      <c r="G138" s="11" t="s">
        <v>387</v>
      </c>
      <c r="H138" s="12" t="s">
        <v>915</v>
      </c>
      <c r="I138" s="11" t="s">
        <v>147</v>
      </c>
      <c r="J138" s="11"/>
      <c r="K138" s="11" t="s">
        <v>96</v>
      </c>
      <c r="L138" s="11" t="s">
        <v>99</v>
      </c>
      <c r="M138" s="11" t="s">
        <v>161</v>
      </c>
      <c r="N138" s="10"/>
      <c r="O138" s="11" t="str">
        <f aca="false">IF(N138="",IF(I138="Include","Include",J138),N138)</f>
        <v>Include</v>
      </c>
      <c r="P138" s="11" t="s">
        <v>916</v>
      </c>
    </row>
    <row r="139" customFormat="false" ht="15" hidden="false" customHeight="false" outlineLevel="0" collapsed="false">
      <c r="A139" s="11" t="s">
        <v>917</v>
      </c>
      <c r="B139" s="11" t="s">
        <v>30</v>
      </c>
      <c r="C139" s="2" t="s">
        <v>918</v>
      </c>
      <c r="D139" s="11" t="n">
        <v>2017</v>
      </c>
      <c r="E139" s="11" t="s">
        <v>171</v>
      </c>
      <c r="F139" s="11" t="s">
        <v>919</v>
      </c>
      <c r="G139" s="11" t="s">
        <v>329</v>
      </c>
      <c r="H139" s="12" t="s">
        <v>920</v>
      </c>
      <c r="I139" s="11" t="s">
        <v>147</v>
      </c>
      <c r="J139" s="11"/>
      <c r="K139" s="11" t="s">
        <v>96</v>
      </c>
      <c r="L139" s="11" t="s">
        <v>101</v>
      </c>
      <c r="M139" s="11" t="s">
        <v>210</v>
      </c>
      <c r="N139" s="10"/>
      <c r="O139" s="11" t="str">
        <f aca="false">IF(N139="",IF(I139="Include","Include",J139),N139)</f>
        <v>Include</v>
      </c>
      <c r="P139" s="11" t="s">
        <v>921</v>
      </c>
    </row>
    <row r="140" customFormat="false" ht="23.85" hidden="false" customHeight="false" outlineLevel="0" collapsed="false">
      <c r="A140" s="11" t="s">
        <v>922</v>
      </c>
      <c r="B140" s="11" t="s">
        <v>30</v>
      </c>
      <c r="C140" s="2" t="s">
        <v>923</v>
      </c>
      <c r="D140" s="11" t="n">
        <v>2023</v>
      </c>
      <c r="E140" s="11" t="s">
        <v>171</v>
      </c>
      <c r="F140" s="11" t="s">
        <v>924</v>
      </c>
      <c r="G140" s="11" t="s">
        <v>459</v>
      </c>
      <c r="H140" s="12" t="s">
        <v>925</v>
      </c>
      <c r="I140" s="11" t="s">
        <v>147</v>
      </c>
      <c r="J140" s="11"/>
      <c r="K140" s="11" t="s">
        <v>96</v>
      </c>
      <c r="L140" s="11" t="s">
        <v>103</v>
      </c>
      <c r="M140" s="11" t="s">
        <v>148</v>
      </c>
      <c r="N140" s="10"/>
      <c r="O140" s="11" t="str">
        <f aca="false">IF(N140="",IF(I140="Include","Include",J140),N140)</f>
        <v>Include</v>
      </c>
      <c r="P140" s="11" t="s">
        <v>926</v>
      </c>
    </row>
    <row r="141" customFormat="false" ht="15" hidden="false" customHeight="false" outlineLevel="0" collapsed="false">
      <c r="A141" s="11" t="s">
        <v>927</v>
      </c>
      <c r="B141" s="11" t="s">
        <v>30</v>
      </c>
      <c r="C141" s="2" t="s">
        <v>928</v>
      </c>
      <c r="D141" s="11" t="n">
        <v>2022</v>
      </c>
      <c r="E141" s="11" t="s">
        <v>171</v>
      </c>
      <c r="F141" s="11" t="s">
        <v>929</v>
      </c>
      <c r="G141" s="11" t="s">
        <v>329</v>
      </c>
      <c r="H141" s="12" t="s">
        <v>930</v>
      </c>
      <c r="I141" s="11" t="s">
        <v>147</v>
      </c>
      <c r="J141" s="11"/>
      <c r="K141" s="11" t="s">
        <v>96</v>
      </c>
      <c r="L141" s="11" t="s">
        <v>99</v>
      </c>
      <c r="M141" s="11" t="s">
        <v>210</v>
      </c>
      <c r="N141" s="10"/>
      <c r="O141" s="11" t="str">
        <f aca="false">IF(N141="",IF(I141="Include","Include",J141),N141)</f>
        <v>Include</v>
      </c>
      <c r="P141" s="11" t="s">
        <v>931</v>
      </c>
    </row>
    <row r="142" customFormat="false" ht="23.85" hidden="false" customHeight="false" outlineLevel="0" collapsed="false">
      <c r="A142" s="8" t="s">
        <v>932</v>
      </c>
      <c r="B142" s="8" t="s">
        <v>30</v>
      </c>
      <c r="C142" s="9" t="s">
        <v>933</v>
      </c>
      <c r="D142" s="8" t="n">
        <v>2023</v>
      </c>
      <c r="E142" s="8" t="s">
        <v>143</v>
      </c>
      <c r="F142" s="8" t="s">
        <v>934</v>
      </c>
      <c r="G142" s="8" t="s">
        <v>935</v>
      </c>
      <c r="H142" s="8"/>
      <c r="I142" s="8" t="s">
        <v>139</v>
      </c>
      <c r="J142" s="8" t="s">
        <v>85</v>
      </c>
      <c r="K142" s="8"/>
      <c r="L142" s="8"/>
      <c r="M142" s="8"/>
      <c r="N142" s="10"/>
      <c r="O142" s="11" t="str">
        <f aca="false">IF(N142="",IF(I142="Include","Include",J142),N142)</f>
        <v>EC6</v>
      </c>
      <c r="P142" s="11" t="s">
        <v>936</v>
      </c>
    </row>
    <row r="143" customFormat="false" ht="15" hidden="false" customHeight="false" outlineLevel="0" collapsed="false">
      <c r="A143" s="11" t="s">
        <v>937</v>
      </c>
      <c r="B143" s="11" t="s">
        <v>30</v>
      </c>
      <c r="C143" s="2" t="s">
        <v>938</v>
      </c>
      <c r="D143" s="11" t="n">
        <v>2023</v>
      </c>
      <c r="E143" s="11" t="s">
        <v>171</v>
      </c>
      <c r="F143" s="11" t="s">
        <v>939</v>
      </c>
      <c r="G143" s="11" t="s">
        <v>940</v>
      </c>
      <c r="H143" s="12" t="s">
        <v>941</v>
      </c>
      <c r="I143" s="11" t="s">
        <v>147</v>
      </c>
      <c r="J143" s="11"/>
      <c r="K143" s="11" t="s">
        <v>96</v>
      </c>
      <c r="L143" s="11" t="s">
        <v>105</v>
      </c>
      <c r="M143" s="11" t="s">
        <v>161</v>
      </c>
      <c r="N143" s="10"/>
      <c r="O143" s="11" t="str">
        <f aca="false">IF(N143="",IF(I143="Include","Include",J143),N143)</f>
        <v>Include</v>
      </c>
      <c r="P143" s="11" t="s">
        <v>942</v>
      </c>
    </row>
    <row r="144" customFormat="false" ht="23.85" hidden="false" customHeight="false" outlineLevel="0" collapsed="false">
      <c r="A144" s="11" t="s">
        <v>943</v>
      </c>
      <c r="B144" s="11" t="s">
        <v>30</v>
      </c>
      <c r="C144" s="2" t="s">
        <v>944</v>
      </c>
      <c r="D144" s="11" t="n">
        <v>2020</v>
      </c>
      <c r="E144" s="11" t="s">
        <v>171</v>
      </c>
      <c r="F144" s="11" t="s">
        <v>565</v>
      </c>
      <c r="G144" s="11" t="s">
        <v>945</v>
      </c>
      <c r="H144" s="12" t="s">
        <v>946</v>
      </c>
      <c r="I144" s="11" t="s">
        <v>147</v>
      </c>
      <c r="J144" s="11"/>
      <c r="K144" s="11" t="s">
        <v>96</v>
      </c>
      <c r="L144" s="11" t="s">
        <v>99</v>
      </c>
      <c r="M144" s="11" t="s">
        <v>161</v>
      </c>
      <c r="N144" s="10"/>
      <c r="O144" s="11" t="str">
        <f aca="false">IF(N144="",IF(I144="Include","Include",J144),N144)</f>
        <v>Include</v>
      </c>
      <c r="P144" s="11" t="s">
        <v>947</v>
      </c>
    </row>
    <row r="145" customFormat="false" ht="23.85" hidden="false" customHeight="false" outlineLevel="0" collapsed="false">
      <c r="A145" s="11" t="s">
        <v>948</v>
      </c>
      <c r="B145" s="11" t="s">
        <v>30</v>
      </c>
      <c r="C145" s="2" t="s">
        <v>949</v>
      </c>
      <c r="D145" s="11" t="n">
        <v>2023</v>
      </c>
      <c r="E145" s="11" t="s">
        <v>143</v>
      </c>
      <c r="F145" s="11" t="s">
        <v>950</v>
      </c>
      <c r="G145" s="11" t="s">
        <v>951</v>
      </c>
      <c r="H145" s="12" t="s">
        <v>952</v>
      </c>
      <c r="I145" s="11" t="s">
        <v>147</v>
      </c>
      <c r="J145" s="11"/>
      <c r="K145" s="11" t="s">
        <v>96</v>
      </c>
      <c r="L145" s="11" t="s">
        <v>99</v>
      </c>
      <c r="M145" s="11" t="s">
        <v>161</v>
      </c>
      <c r="N145" s="10"/>
      <c r="O145" s="11" t="str">
        <f aca="false">IF(N145="",IF(I145="Include","Include",J145),N145)</f>
        <v>Include</v>
      </c>
      <c r="P145" s="11" t="s">
        <v>953</v>
      </c>
    </row>
    <row r="146" customFormat="false" ht="23.85" hidden="false" customHeight="false" outlineLevel="0" collapsed="false">
      <c r="A146" s="8" t="s">
        <v>954</v>
      </c>
      <c r="B146" s="8" t="s">
        <v>30</v>
      </c>
      <c r="C146" s="9" t="s">
        <v>955</v>
      </c>
      <c r="D146" s="8" t="n">
        <v>2025</v>
      </c>
      <c r="E146" s="8" t="s">
        <v>143</v>
      </c>
      <c r="F146" s="8" t="s">
        <v>956</v>
      </c>
      <c r="G146" s="8" t="s">
        <v>957</v>
      </c>
      <c r="H146" s="13" t="s">
        <v>958</v>
      </c>
      <c r="I146" s="8" t="s">
        <v>139</v>
      </c>
      <c r="J146" s="8" t="s">
        <v>87</v>
      </c>
      <c r="K146" s="8"/>
      <c r="L146" s="8"/>
      <c r="M146" s="8"/>
      <c r="N146" s="10"/>
      <c r="O146" s="11" t="str">
        <f aca="false">IF(N146="",IF(I146="Include","Include",J146),N146)</f>
        <v>EC7</v>
      </c>
      <c r="P146" s="11" t="s">
        <v>959</v>
      </c>
    </row>
    <row r="147" customFormat="false" ht="15" hidden="false" customHeight="false" outlineLevel="0" collapsed="false">
      <c r="A147" s="8" t="s">
        <v>960</v>
      </c>
      <c r="B147" s="8" t="s">
        <v>30</v>
      </c>
      <c r="C147" s="9" t="s">
        <v>961</v>
      </c>
      <c r="D147" s="8" t="n">
        <v>2025</v>
      </c>
      <c r="E147" s="8" t="s">
        <v>171</v>
      </c>
      <c r="F147" s="8" t="s">
        <v>962</v>
      </c>
      <c r="G147" s="8" t="s">
        <v>963</v>
      </c>
      <c r="H147" s="13" t="s">
        <v>964</v>
      </c>
      <c r="I147" s="8" t="s">
        <v>139</v>
      </c>
      <c r="J147" s="8" t="s">
        <v>89</v>
      </c>
      <c r="K147" s="8"/>
      <c r="L147" s="8"/>
      <c r="M147" s="8"/>
      <c r="N147" s="10"/>
      <c r="O147" s="11" t="str">
        <f aca="false">IF(N147="",IF(I147="Include","Include",J147),N147)</f>
        <v>EC8</v>
      </c>
      <c r="P147" s="11" t="s">
        <v>965</v>
      </c>
    </row>
    <row r="148" customFormat="false" ht="23.85" hidden="false" customHeight="false" outlineLevel="0" collapsed="false">
      <c r="A148" s="11" t="s">
        <v>966</v>
      </c>
      <c r="B148" s="11" t="s">
        <v>30</v>
      </c>
      <c r="C148" s="2" t="s">
        <v>967</v>
      </c>
      <c r="D148" s="11" t="n">
        <v>2026</v>
      </c>
      <c r="E148" s="11" t="s">
        <v>143</v>
      </c>
      <c r="F148" s="11" t="s">
        <v>968</v>
      </c>
      <c r="G148" s="11" t="s">
        <v>969</v>
      </c>
      <c r="H148" s="12" t="s">
        <v>970</v>
      </c>
      <c r="I148" s="11" t="s">
        <v>147</v>
      </c>
      <c r="J148" s="11"/>
      <c r="K148" s="11" t="s">
        <v>96</v>
      </c>
      <c r="L148" s="11" t="s">
        <v>99</v>
      </c>
      <c r="M148" s="11" t="s">
        <v>161</v>
      </c>
      <c r="N148" s="10"/>
      <c r="O148" s="11" t="str">
        <f aca="false">IF(N148="",IF(I148="Include","Include",J148),N148)</f>
        <v>Include</v>
      </c>
      <c r="P148" s="11" t="s">
        <v>971</v>
      </c>
    </row>
    <row r="149" customFormat="false" ht="23.85" hidden="false" customHeight="false" outlineLevel="0" collapsed="false">
      <c r="A149" s="11" t="s">
        <v>972</v>
      </c>
      <c r="B149" s="11" t="s">
        <v>219</v>
      </c>
      <c r="C149" s="2" t="s">
        <v>973</v>
      </c>
      <c r="D149" s="11" t="n">
        <v>2020</v>
      </c>
      <c r="E149" s="11" t="s">
        <v>143</v>
      </c>
      <c r="F149" s="11" t="s">
        <v>974</v>
      </c>
      <c r="G149" s="11" t="s">
        <v>481</v>
      </c>
      <c r="H149" s="12" t="s">
        <v>975</v>
      </c>
      <c r="I149" s="11" t="s">
        <v>147</v>
      </c>
      <c r="J149" s="11"/>
      <c r="K149" s="11" t="s">
        <v>96</v>
      </c>
      <c r="L149" s="11" t="s">
        <v>99</v>
      </c>
      <c r="M149" s="11" t="s">
        <v>148</v>
      </c>
      <c r="N149" s="10"/>
      <c r="O149" s="11" t="str">
        <f aca="false">IF(N149="",IF(I149="Include","Include",J149),N149)</f>
        <v>Include</v>
      </c>
      <c r="P149" s="11" t="s">
        <v>976</v>
      </c>
    </row>
    <row r="150" customFormat="false" ht="23.85" hidden="false" customHeight="false" outlineLevel="0" collapsed="false">
      <c r="A150" s="8" t="s">
        <v>977</v>
      </c>
      <c r="B150" s="8" t="s">
        <v>30</v>
      </c>
      <c r="C150" s="9" t="s">
        <v>978</v>
      </c>
      <c r="D150" s="8" t="n">
        <v>2023</v>
      </c>
      <c r="E150" s="8" t="s">
        <v>143</v>
      </c>
      <c r="F150" s="8" t="s">
        <v>979</v>
      </c>
      <c r="G150" s="8" t="s">
        <v>980</v>
      </c>
      <c r="H150" s="13" t="s">
        <v>981</v>
      </c>
      <c r="I150" s="8" t="s">
        <v>139</v>
      </c>
      <c r="J150" s="8" t="s">
        <v>87</v>
      </c>
      <c r="K150" s="8"/>
      <c r="L150" s="8"/>
      <c r="M150" s="8"/>
      <c r="N150" s="10"/>
      <c r="O150" s="11" t="str">
        <f aca="false">IF(N150="",IF(I150="Include","Include",J150),N150)</f>
        <v>EC7</v>
      </c>
      <c r="P150" s="11" t="s">
        <v>982</v>
      </c>
    </row>
    <row r="151" customFormat="false" ht="23.85" hidden="false" customHeight="false" outlineLevel="0" collapsed="false">
      <c r="A151" s="8" t="s">
        <v>983</v>
      </c>
      <c r="B151" s="8" t="s">
        <v>30</v>
      </c>
      <c r="C151" s="9" t="s">
        <v>984</v>
      </c>
      <c r="D151" s="8" t="n">
        <v>2025</v>
      </c>
      <c r="E151" s="8" t="s">
        <v>143</v>
      </c>
      <c r="F151" s="8" t="s">
        <v>985</v>
      </c>
      <c r="G151" s="8" t="s">
        <v>986</v>
      </c>
      <c r="H151" s="13" t="s">
        <v>987</v>
      </c>
      <c r="I151" s="8" t="s">
        <v>139</v>
      </c>
      <c r="J151" s="8" t="s">
        <v>85</v>
      </c>
      <c r="K151" s="8"/>
      <c r="L151" s="8"/>
      <c r="M151" s="8"/>
      <c r="N151" s="10"/>
      <c r="O151" s="11" t="str">
        <f aca="false">IF(N151="",IF(I151="Include","Include",J151),N151)</f>
        <v>EC6</v>
      </c>
      <c r="P151" s="11" t="s">
        <v>988</v>
      </c>
    </row>
    <row r="152" customFormat="false" ht="23.85" hidden="false" customHeight="false" outlineLevel="0" collapsed="false">
      <c r="A152" s="11" t="s">
        <v>989</v>
      </c>
      <c r="B152" s="11" t="s">
        <v>30</v>
      </c>
      <c r="C152" s="2" t="s">
        <v>990</v>
      </c>
      <c r="D152" s="11" t="n">
        <v>2026</v>
      </c>
      <c r="E152" s="11" t="s">
        <v>171</v>
      </c>
      <c r="F152" s="11" t="s">
        <v>991</v>
      </c>
      <c r="G152" s="11" t="s">
        <v>471</v>
      </c>
      <c r="H152" s="12" t="s">
        <v>992</v>
      </c>
      <c r="I152" s="11" t="s">
        <v>147</v>
      </c>
      <c r="J152" s="11"/>
      <c r="K152" s="11" t="s">
        <v>96</v>
      </c>
      <c r="L152" s="11" t="s">
        <v>99</v>
      </c>
      <c r="M152" s="11" t="s">
        <v>148</v>
      </c>
      <c r="N152" s="10"/>
      <c r="O152" s="11" t="str">
        <f aca="false">IF(N152="",IF(I152="Include","Include",J152),N152)</f>
        <v>Include</v>
      </c>
      <c r="P152" s="11" t="s">
        <v>993</v>
      </c>
    </row>
    <row r="153" customFormat="false" ht="35.05" hidden="false" customHeight="false" outlineLevel="0" collapsed="false">
      <c r="A153" s="11" t="s">
        <v>994</v>
      </c>
      <c r="B153" s="11" t="s">
        <v>30</v>
      </c>
      <c r="C153" s="2" t="s">
        <v>995</v>
      </c>
      <c r="D153" s="11" t="n">
        <v>2026</v>
      </c>
      <c r="E153" s="11" t="s">
        <v>143</v>
      </c>
      <c r="F153" s="11" t="s">
        <v>996</v>
      </c>
      <c r="G153" s="11" t="s">
        <v>997</v>
      </c>
      <c r="H153" s="12" t="s">
        <v>998</v>
      </c>
      <c r="I153" s="11" t="s">
        <v>147</v>
      </c>
      <c r="J153" s="11"/>
      <c r="K153" s="11" t="s">
        <v>96</v>
      </c>
      <c r="L153" s="11" t="s">
        <v>94</v>
      </c>
      <c r="M153" s="11" t="s">
        <v>210</v>
      </c>
      <c r="N153" s="10"/>
      <c r="O153" s="11" t="str">
        <f aca="false">IF(N153="",IF(I153="Include","Include",J153),N153)</f>
        <v>Include</v>
      </c>
      <c r="P153" s="11" t="s">
        <v>999</v>
      </c>
    </row>
    <row r="154" customFormat="false" ht="23.85" hidden="false" customHeight="false" outlineLevel="0" collapsed="false">
      <c r="A154" s="11" t="s">
        <v>1000</v>
      </c>
      <c r="B154" s="11" t="s">
        <v>30</v>
      </c>
      <c r="C154" s="2" t="s">
        <v>1001</v>
      </c>
      <c r="D154" s="11" t="n">
        <v>2019</v>
      </c>
      <c r="E154" s="11" t="s">
        <v>143</v>
      </c>
      <c r="F154" s="11" t="s">
        <v>565</v>
      </c>
      <c r="G154" s="11" t="s">
        <v>904</v>
      </c>
      <c r="H154" s="12" t="s">
        <v>1002</v>
      </c>
      <c r="I154" s="11" t="s">
        <v>147</v>
      </c>
      <c r="J154" s="11"/>
      <c r="K154" s="11" t="s">
        <v>96</v>
      </c>
      <c r="L154" s="11" t="s">
        <v>99</v>
      </c>
      <c r="M154" s="11" t="s">
        <v>148</v>
      </c>
      <c r="N154" s="10"/>
      <c r="O154" s="11" t="str">
        <f aca="false">IF(N154="",IF(I154="Include","Include",J154),N154)</f>
        <v>Include</v>
      </c>
      <c r="P154" s="11" t="s">
        <v>1003</v>
      </c>
    </row>
    <row r="155" customFormat="false" ht="23.85" hidden="false" customHeight="false" outlineLevel="0" collapsed="false">
      <c r="A155" s="8" t="s">
        <v>1004</v>
      </c>
      <c r="B155" s="8" t="s">
        <v>30</v>
      </c>
      <c r="C155" s="9" t="s">
        <v>1005</v>
      </c>
      <c r="D155" s="8" t="n">
        <v>2024</v>
      </c>
      <c r="E155" s="8" t="s">
        <v>171</v>
      </c>
      <c r="F155" s="8" t="s">
        <v>1006</v>
      </c>
      <c r="G155" s="8" t="s">
        <v>1007</v>
      </c>
      <c r="H155" s="13" t="s">
        <v>1008</v>
      </c>
      <c r="I155" s="8" t="s">
        <v>139</v>
      </c>
      <c r="J155" s="8" t="s">
        <v>87</v>
      </c>
      <c r="K155" s="8"/>
      <c r="L155" s="8"/>
      <c r="M155" s="8"/>
      <c r="N155" s="10"/>
      <c r="O155" s="11" t="str">
        <f aca="false">IF(N155="",IF(I155="Include","Include",J155),N155)</f>
        <v>EC7</v>
      </c>
      <c r="P155" s="11" t="s">
        <v>1009</v>
      </c>
    </row>
    <row r="156" customFormat="false" ht="15" hidden="false" customHeight="false" outlineLevel="0" collapsed="false">
      <c r="A156" s="11" t="s">
        <v>1010</v>
      </c>
      <c r="B156" s="11" t="s">
        <v>30</v>
      </c>
      <c r="C156" s="2" t="s">
        <v>1011</v>
      </c>
      <c r="D156" s="11" t="n">
        <v>2020</v>
      </c>
      <c r="E156" s="11" t="s">
        <v>143</v>
      </c>
      <c r="F156" s="11" t="s">
        <v>1012</v>
      </c>
      <c r="G156" s="11" t="s">
        <v>1013</v>
      </c>
      <c r="H156" s="12" t="s">
        <v>1014</v>
      </c>
      <c r="I156" s="11" t="s">
        <v>147</v>
      </c>
      <c r="J156" s="11"/>
      <c r="K156" s="11" t="s">
        <v>96</v>
      </c>
      <c r="L156" s="11" t="s">
        <v>105</v>
      </c>
      <c r="M156" s="11" t="s">
        <v>161</v>
      </c>
      <c r="N156" s="10"/>
      <c r="O156" s="11" t="str">
        <f aca="false">IF(N156="",IF(I156="Include","Include",J156),N156)</f>
        <v>Include</v>
      </c>
      <c r="P156" s="11" t="s">
        <v>1015</v>
      </c>
    </row>
    <row r="157" customFormat="false" ht="23.85" hidden="false" customHeight="false" outlineLevel="0" collapsed="false">
      <c r="A157" s="11" t="s">
        <v>1016</v>
      </c>
      <c r="B157" s="11" t="s">
        <v>219</v>
      </c>
      <c r="C157" s="2" t="s">
        <v>1017</v>
      </c>
      <c r="D157" s="11" t="n">
        <v>2026</v>
      </c>
      <c r="E157" s="11" t="s">
        <v>143</v>
      </c>
      <c r="F157" s="11" t="s">
        <v>1018</v>
      </c>
      <c r="G157" s="11" t="s">
        <v>1019</v>
      </c>
      <c r="H157" s="12" t="s">
        <v>1020</v>
      </c>
      <c r="I157" s="11" t="s">
        <v>147</v>
      </c>
      <c r="J157" s="11"/>
      <c r="K157" s="11" t="s">
        <v>109</v>
      </c>
      <c r="L157" s="11" t="s">
        <v>107</v>
      </c>
      <c r="M157" s="11" t="s">
        <v>210</v>
      </c>
      <c r="N157" s="10"/>
      <c r="O157" s="11" t="str">
        <f aca="false">IF(N157="",IF(I157="Include","Include",J157),N157)</f>
        <v>Include</v>
      </c>
      <c r="P157" s="11" t="s">
        <v>1021</v>
      </c>
    </row>
    <row r="158" customFormat="false" ht="23.85" hidden="false" customHeight="false" outlineLevel="0" collapsed="false">
      <c r="A158" s="8" t="s">
        <v>1022</v>
      </c>
      <c r="B158" s="8" t="s">
        <v>219</v>
      </c>
      <c r="C158" s="9" t="s">
        <v>870</v>
      </c>
      <c r="D158" s="8" t="n">
        <v>2022</v>
      </c>
      <c r="E158" s="8" t="s">
        <v>138</v>
      </c>
      <c r="F158" s="8"/>
      <c r="G158" s="8" t="s">
        <v>870</v>
      </c>
      <c r="H158" s="8"/>
      <c r="I158" s="8" t="s">
        <v>139</v>
      </c>
      <c r="J158" s="8" t="s">
        <v>81</v>
      </c>
      <c r="K158" s="8"/>
      <c r="L158" s="8"/>
      <c r="M158" s="8"/>
      <c r="N158" s="10"/>
      <c r="O158" s="11" t="str">
        <f aca="false">IF(N158="",IF(I158="Include","Include",J158),N158)</f>
        <v>EC4</v>
      </c>
      <c r="P158" s="11" t="s">
        <v>1023</v>
      </c>
    </row>
    <row r="159" customFormat="false" ht="23.85" hidden="false" customHeight="false" outlineLevel="0" collapsed="false">
      <c r="A159" s="11" t="s">
        <v>1024</v>
      </c>
      <c r="B159" s="11" t="s">
        <v>30</v>
      </c>
      <c r="C159" s="2" t="s">
        <v>1025</v>
      </c>
      <c r="D159" s="11" t="n">
        <v>2025</v>
      </c>
      <c r="E159" s="11" t="s">
        <v>171</v>
      </c>
      <c r="F159" s="11" t="s">
        <v>1026</v>
      </c>
      <c r="G159" s="11" t="s">
        <v>387</v>
      </c>
      <c r="H159" s="12" t="s">
        <v>1027</v>
      </c>
      <c r="I159" s="11" t="s">
        <v>147</v>
      </c>
      <c r="J159" s="11"/>
      <c r="K159" s="11" t="s">
        <v>96</v>
      </c>
      <c r="L159" s="11" t="s">
        <v>99</v>
      </c>
      <c r="M159" s="11" t="s">
        <v>210</v>
      </c>
      <c r="N159" s="10"/>
      <c r="O159" s="11" t="str">
        <f aca="false">IF(N159="",IF(I159="Include","Include",J159),N159)</f>
        <v>Include</v>
      </c>
      <c r="P159" s="11" t="s">
        <v>1028</v>
      </c>
    </row>
    <row r="160" customFormat="false" ht="23.85" hidden="false" customHeight="false" outlineLevel="0" collapsed="false">
      <c r="A160" s="8" t="s">
        <v>1029</v>
      </c>
      <c r="B160" s="8" t="s">
        <v>30</v>
      </c>
      <c r="C160" s="9" t="s">
        <v>1030</v>
      </c>
      <c r="D160" s="8" t="n">
        <v>2025</v>
      </c>
      <c r="E160" s="8" t="s">
        <v>143</v>
      </c>
      <c r="F160" s="8" t="s">
        <v>1031</v>
      </c>
      <c r="G160" s="8" t="s">
        <v>1032</v>
      </c>
      <c r="H160" s="13" t="s">
        <v>1033</v>
      </c>
      <c r="I160" s="8" t="s">
        <v>139</v>
      </c>
      <c r="J160" s="8" t="s">
        <v>85</v>
      </c>
      <c r="K160" s="8"/>
      <c r="L160" s="8"/>
      <c r="M160" s="8"/>
      <c r="N160" s="10"/>
      <c r="O160" s="11" t="str">
        <f aca="false">IF(N160="",IF(I160="Include","Include",J160),N160)</f>
        <v>EC6</v>
      </c>
      <c r="P160" s="11" t="s">
        <v>1034</v>
      </c>
    </row>
    <row r="161" customFormat="false" ht="23.85" hidden="false" customHeight="false" outlineLevel="0" collapsed="false">
      <c r="A161" s="8" t="s">
        <v>1035</v>
      </c>
      <c r="B161" s="8" t="s">
        <v>30</v>
      </c>
      <c r="C161" s="9" t="s">
        <v>1036</v>
      </c>
      <c r="D161" s="8" t="n">
        <v>2025</v>
      </c>
      <c r="E161" s="8" t="s">
        <v>143</v>
      </c>
      <c r="F161" s="8" t="s">
        <v>1037</v>
      </c>
      <c r="G161" s="8" t="s">
        <v>1038</v>
      </c>
      <c r="H161" s="13" t="s">
        <v>1039</v>
      </c>
      <c r="I161" s="8" t="s">
        <v>139</v>
      </c>
      <c r="J161" s="8" t="s">
        <v>87</v>
      </c>
      <c r="K161" s="8"/>
      <c r="L161" s="8"/>
      <c r="M161" s="8"/>
      <c r="N161" s="10"/>
      <c r="O161" s="11" t="str">
        <f aca="false">IF(N161="",IF(I161="Include","Include",J161),N161)</f>
        <v>EC7</v>
      </c>
      <c r="P161" s="11" t="s">
        <v>1040</v>
      </c>
    </row>
    <row r="162" customFormat="false" ht="23.85" hidden="false" customHeight="false" outlineLevel="0" collapsed="false">
      <c r="A162" s="8" t="s">
        <v>1041</v>
      </c>
      <c r="B162" s="8" t="s">
        <v>30</v>
      </c>
      <c r="C162" s="9" t="s">
        <v>1042</v>
      </c>
      <c r="D162" s="8" t="n">
        <v>2022</v>
      </c>
      <c r="E162" s="8" t="s">
        <v>138</v>
      </c>
      <c r="F162" s="8"/>
      <c r="G162" s="8" t="s">
        <v>1043</v>
      </c>
      <c r="H162" s="8"/>
      <c r="I162" s="8" t="s">
        <v>139</v>
      </c>
      <c r="J162" s="8" t="s">
        <v>81</v>
      </c>
      <c r="K162" s="8"/>
      <c r="L162" s="8"/>
      <c r="M162" s="8"/>
      <c r="N162" s="10"/>
      <c r="O162" s="11" t="str">
        <f aca="false">IF(N162="",IF(I162="Include","Include",J162),N162)</f>
        <v>EC4</v>
      </c>
      <c r="P162" s="11" t="s">
        <v>1044</v>
      </c>
    </row>
    <row r="163" customFormat="false" ht="23.85" hidden="false" customHeight="false" outlineLevel="0" collapsed="false">
      <c r="A163" s="11" t="s">
        <v>1045</v>
      </c>
      <c r="B163" s="11" t="s">
        <v>30</v>
      </c>
      <c r="C163" s="2" t="s">
        <v>1046</v>
      </c>
      <c r="D163" s="11" t="n">
        <v>2026</v>
      </c>
      <c r="E163" s="11" t="s">
        <v>171</v>
      </c>
      <c r="F163" s="11" t="s">
        <v>1047</v>
      </c>
      <c r="G163" s="11" t="s">
        <v>1048</v>
      </c>
      <c r="H163" s="12" t="s">
        <v>1049</v>
      </c>
      <c r="I163" s="11" t="s">
        <v>147</v>
      </c>
      <c r="J163" s="11"/>
      <c r="K163" s="11" t="s">
        <v>96</v>
      </c>
      <c r="L163" s="11" t="s">
        <v>103</v>
      </c>
      <c r="M163" s="11" t="s">
        <v>161</v>
      </c>
      <c r="N163" s="10"/>
      <c r="O163" s="11" t="str">
        <f aca="false">IF(N163="",IF(I163="Include","Include",J163),N163)</f>
        <v>Include</v>
      </c>
      <c r="P163" s="11" t="s">
        <v>1050</v>
      </c>
    </row>
    <row r="164" customFormat="false" ht="23.85" hidden="false" customHeight="false" outlineLevel="0" collapsed="false">
      <c r="A164" s="11" t="s">
        <v>1051</v>
      </c>
      <c r="B164" s="11" t="s">
        <v>30</v>
      </c>
      <c r="C164" s="2" t="s">
        <v>1052</v>
      </c>
      <c r="D164" s="11" t="n">
        <v>2024</v>
      </c>
      <c r="E164" s="11" t="s">
        <v>171</v>
      </c>
      <c r="F164" s="11" t="s">
        <v>1053</v>
      </c>
      <c r="G164" s="11" t="s">
        <v>329</v>
      </c>
      <c r="H164" s="12" t="s">
        <v>1054</v>
      </c>
      <c r="I164" s="11" t="s">
        <v>147</v>
      </c>
      <c r="J164" s="11"/>
      <c r="K164" s="11" t="s">
        <v>96</v>
      </c>
      <c r="L164" s="11" t="s">
        <v>99</v>
      </c>
      <c r="M164" s="11" t="s">
        <v>210</v>
      </c>
      <c r="N164" s="10"/>
      <c r="O164" s="11" t="str">
        <f aca="false">IF(N164="",IF(I164="Include","Include",J164),N164)</f>
        <v>Include</v>
      </c>
      <c r="P164" s="11" t="s">
        <v>1055</v>
      </c>
    </row>
    <row r="165" customFormat="false" ht="15" hidden="false" customHeight="false" outlineLevel="0" collapsed="false">
      <c r="A165" s="8" t="s">
        <v>1056</v>
      </c>
      <c r="B165" s="8" t="s">
        <v>30</v>
      </c>
      <c r="C165" s="9" t="s">
        <v>1057</v>
      </c>
      <c r="D165" s="8" t="n">
        <v>2024</v>
      </c>
      <c r="E165" s="8" t="s">
        <v>143</v>
      </c>
      <c r="F165" s="8" t="s">
        <v>1058</v>
      </c>
      <c r="G165" s="8" t="s">
        <v>1059</v>
      </c>
      <c r="H165" s="13" t="s">
        <v>1060</v>
      </c>
      <c r="I165" s="8" t="s">
        <v>139</v>
      </c>
      <c r="J165" s="8" t="s">
        <v>85</v>
      </c>
      <c r="K165" s="8"/>
      <c r="L165" s="8"/>
      <c r="M165" s="8"/>
      <c r="N165" s="10"/>
      <c r="O165" s="11" t="str">
        <f aca="false">IF(N165="",IF(I165="Include","Include",J165),N165)</f>
        <v>EC6</v>
      </c>
      <c r="P165" s="11" t="s">
        <v>1061</v>
      </c>
    </row>
    <row r="166" customFormat="false" ht="23.85" hidden="false" customHeight="false" outlineLevel="0" collapsed="false">
      <c r="A166" s="8" t="s">
        <v>1062</v>
      </c>
      <c r="B166" s="8" t="s">
        <v>30</v>
      </c>
      <c r="C166" s="9" t="s">
        <v>1063</v>
      </c>
      <c r="D166" s="8" t="n">
        <v>2021</v>
      </c>
      <c r="E166" s="8" t="s">
        <v>171</v>
      </c>
      <c r="F166" s="8" t="s">
        <v>1064</v>
      </c>
      <c r="G166" s="8" t="s">
        <v>1065</v>
      </c>
      <c r="H166" s="13" t="s">
        <v>1066</v>
      </c>
      <c r="I166" s="8" t="s">
        <v>139</v>
      </c>
      <c r="J166" s="8" t="s">
        <v>85</v>
      </c>
      <c r="K166" s="8"/>
      <c r="L166" s="8"/>
      <c r="M166" s="8"/>
      <c r="N166" s="10"/>
      <c r="O166" s="11" t="str">
        <f aca="false">IF(N166="",IF(I166="Include","Include",J166),N166)</f>
        <v>EC6</v>
      </c>
      <c r="P166" s="11" t="s">
        <v>1067</v>
      </c>
    </row>
    <row r="167" customFormat="false" ht="23.85" hidden="false" customHeight="false" outlineLevel="0" collapsed="false">
      <c r="A167" s="11" t="s">
        <v>1068</v>
      </c>
      <c r="B167" s="11" t="s">
        <v>30</v>
      </c>
      <c r="C167" s="2" t="s">
        <v>1069</v>
      </c>
      <c r="D167" s="11" t="n">
        <v>2021</v>
      </c>
      <c r="E167" s="11" t="s">
        <v>171</v>
      </c>
      <c r="F167" s="11" t="s">
        <v>1070</v>
      </c>
      <c r="G167" s="11" t="s">
        <v>329</v>
      </c>
      <c r="H167" s="12" t="s">
        <v>1071</v>
      </c>
      <c r="I167" s="11" t="s">
        <v>147</v>
      </c>
      <c r="J167" s="11"/>
      <c r="K167" s="11" t="s">
        <v>96</v>
      </c>
      <c r="L167" s="11" t="s">
        <v>94</v>
      </c>
      <c r="M167" s="11" t="s">
        <v>148</v>
      </c>
      <c r="N167" s="10"/>
      <c r="O167" s="11" t="str">
        <f aca="false">IF(N167="",IF(I167="Include","Include",J167),N167)</f>
        <v>Include</v>
      </c>
      <c r="P167" s="11" t="s">
        <v>1072</v>
      </c>
    </row>
    <row r="168" customFormat="false" ht="15" hidden="false" customHeight="false" outlineLevel="0" collapsed="false">
      <c r="A168" s="11" t="s">
        <v>1073</v>
      </c>
      <c r="B168" s="11" t="s">
        <v>30</v>
      </c>
      <c r="C168" s="2" t="s">
        <v>1074</v>
      </c>
      <c r="D168" s="11" t="n">
        <v>2020</v>
      </c>
      <c r="E168" s="11" t="s">
        <v>143</v>
      </c>
      <c r="F168" s="11" t="s">
        <v>214</v>
      </c>
      <c r="G168" s="11" t="s">
        <v>441</v>
      </c>
      <c r="H168" s="12" t="s">
        <v>1075</v>
      </c>
      <c r="I168" s="11" t="s">
        <v>147</v>
      </c>
      <c r="J168" s="11"/>
      <c r="K168" s="11" t="s">
        <v>96</v>
      </c>
      <c r="L168" s="11" t="s">
        <v>103</v>
      </c>
      <c r="M168" s="11" t="s">
        <v>161</v>
      </c>
      <c r="N168" s="10"/>
      <c r="O168" s="11" t="str">
        <f aca="false">IF(N168="",IF(I168="Include","Include",J168),N168)</f>
        <v>Include</v>
      </c>
      <c r="P168" s="11" t="s">
        <v>1076</v>
      </c>
    </row>
    <row r="169" customFormat="false" ht="23.85" hidden="false" customHeight="false" outlineLevel="0" collapsed="false">
      <c r="A169" s="11" t="s">
        <v>1077</v>
      </c>
      <c r="B169" s="11" t="s">
        <v>30</v>
      </c>
      <c r="C169" s="2" t="s">
        <v>1078</v>
      </c>
      <c r="D169" s="11" t="n">
        <v>2025</v>
      </c>
      <c r="E169" s="11" t="s">
        <v>143</v>
      </c>
      <c r="F169" s="11" t="s">
        <v>1079</v>
      </c>
      <c r="G169" s="11" t="s">
        <v>1080</v>
      </c>
      <c r="H169" s="12" t="s">
        <v>1081</v>
      </c>
      <c r="I169" s="11" t="s">
        <v>147</v>
      </c>
      <c r="J169" s="11"/>
      <c r="K169" s="11" t="s">
        <v>96</v>
      </c>
      <c r="L169" s="11" t="s">
        <v>103</v>
      </c>
      <c r="M169" s="11" t="s">
        <v>161</v>
      </c>
      <c r="N169" s="10"/>
      <c r="O169" s="11" t="str">
        <f aca="false">IF(N169="",IF(I169="Include","Include",J169),N169)</f>
        <v>Include</v>
      </c>
      <c r="P169" s="11" t="s">
        <v>1082</v>
      </c>
    </row>
    <row r="170" customFormat="false" ht="23.85" hidden="false" customHeight="false" outlineLevel="0" collapsed="false">
      <c r="A170" s="11" t="s">
        <v>1083</v>
      </c>
      <c r="B170" s="11" t="s">
        <v>30</v>
      </c>
      <c r="C170" s="2" t="s">
        <v>1084</v>
      </c>
      <c r="D170" s="11" t="n">
        <v>2022</v>
      </c>
      <c r="E170" s="11" t="s">
        <v>171</v>
      </c>
      <c r="F170" s="11" t="s">
        <v>1085</v>
      </c>
      <c r="G170" s="11" t="s">
        <v>459</v>
      </c>
      <c r="H170" s="12" t="s">
        <v>1086</v>
      </c>
      <c r="I170" s="11" t="s">
        <v>147</v>
      </c>
      <c r="J170" s="11"/>
      <c r="K170" s="11" t="s">
        <v>96</v>
      </c>
      <c r="L170" s="11" t="s">
        <v>99</v>
      </c>
      <c r="M170" s="11" t="s">
        <v>148</v>
      </c>
      <c r="N170" s="10"/>
      <c r="O170" s="11" t="str">
        <f aca="false">IF(N170="",IF(I170="Include","Include",J170),N170)</f>
        <v>Include</v>
      </c>
      <c r="P170" s="11" t="s">
        <v>1087</v>
      </c>
    </row>
    <row r="171" customFormat="false" ht="23.85" hidden="false" customHeight="false" outlineLevel="0" collapsed="false">
      <c r="A171" s="11" t="s">
        <v>1088</v>
      </c>
      <c r="B171" s="11" t="s">
        <v>30</v>
      </c>
      <c r="C171" s="2" t="s">
        <v>1089</v>
      </c>
      <c r="D171" s="11" t="n">
        <v>2025</v>
      </c>
      <c r="E171" s="11" t="s">
        <v>143</v>
      </c>
      <c r="F171" s="11" t="s">
        <v>1090</v>
      </c>
      <c r="G171" s="11" t="s">
        <v>1091</v>
      </c>
      <c r="H171" s="12" t="s">
        <v>1092</v>
      </c>
      <c r="I171" s="11" t="s">
        <v>147</v>
      </c>
      <c r="J171" s="11"/>
      <c r="K171" s="11" t="s">
        <v>96</v>
      </c>
      <c r="L171" s="11" t="s">
        <v>99</v>
      </c>
      <c r="M171" s="11" t="s">
        <v>161</v>
      </c>
      <c r="N171" s="10"/>
      <c r="O171" s="11" t="str">
        <f aca="false">IF(N171="",IF(I171="Include","Include",J171),N171)</f>
        <v>Include</v>
      </c>
      <c r="P171" s="11" t="s">
        <v>1093</v>
      </c>
    </row>
    <row r="172" customFormat="false" ht="23.85" hidden="false" customHeight="false" outlineLevel="0" collapsed="false">
      <c r="A172" s="11" t="s">
        <v>1094</v>
      </c>
      <c r="B172" s="11" t="s">
        <v>30</v>
      </c>
      <c r="C172" s="2" t="s">
        <v>1095</v>
      </c>
      <c r="D172" s="11" t="n">
        <v>2026</v>
      </c>
      <c r="E172" s="11" t="s">
        <v>171</v>
      </c>
      <c r="F172" s="11" t="s">
        <v>1096</v>
      </c>
      <c r="G172" s="11" t="s">
        <v>1097</v>
      </c>
      <c r="H172" s="12" t="s">
        <v>1098</v>
      </c>
      <c r="I172" s="11" t="s">
        <v>147</v>
      </c>
      <c r="J172" s="11"/>
      <c r="K172" s="11" t="s">
        <v>96</v>
      </c>
      <c r="L172" s="11" t="s">
        <v>105</v>
      </c>
      <c r="M172" s="11" t="s">
        <v>148</v>
      </c>
      <c r="N172" s="10"/>
      <c r="O172" s="11" t="str">
        <f aca="false">IF(N172="",IF(I172="Include","Include",J172),N172)</f>
        <v>Include</v>
      </c>
      <c r="P172" s="11" t="s">
        <v>1099</v>
      </c>
    </row>
    <row r="173" customFormat="false" ht="15" hidden="false" customHeight="false" outlineLevel="0" collapsed="false">
      <c r="A173" s="11" t="s">
        <v>1100</v>
      </c>
      <c r="B173" s="11" t="s">
        <v>30</v>
      </c>
      <c r="C173" s="2" t="s">
        <v>1101</v>
      </c>
      <c r="D173" s="11" t="n">
        <v>2018</v>
      </c>
      <c r="E173" s="11" t="s">
        <v>143</v>
      </c>
      <c r="F173" s="11" t="s">
        <v>1102</v>
      </c>
      <c r="G173" s="11" t="s">
        <v>1103</v>
      </c>
      <c r="H173" s="12" t="s">
        <v>1104</v>
      </c>
      <c r="I173" s="11" t="s">
        <v>147</v>
      </c>
      <c r="J173" s="11"/>
      <c r="K173" s="11" t="s">
        <v>96</v>
      </c>
      <c r="L173" s="11" t="s">
        <v>99</v>
      </c>
      <c r="M173" s="11" t="s">
        <v>161</v>
      </c>
      <c r="N173" s="10"/>
      <c r="O173" s="11" t="str">
        <f aca="false">IF(N173="",IF(I173="Include","Include",J173),N173)</f>
        <v>Include</v>
      </c>
      <c r="P173" s="11" t="s">
        <v>1105</v>
      </c>
    </row>
    <row r="174" customFormat="false" ht="15" hidden="false" customHeight="false" outlineLevel="0" collapsed="false">
      <c r="A174" s="11" t="s">
        <v>1106</v>
      </c>
      <c r="B174" s="11" t="s">
        <v>30</v>
      </c>
      <c r="C174" s="2" t="s">
        <v>1107</v>
      </c>
      <c r="D174" s="11" t="n">
        <v>2022</v>
      </c>
      <c r="E174" s="11" t="s">
        <v>143</v>
      </c>
      <c r="F174" s="11" t="s">
        <v>1108</v>
      </c>
      <c r="G174" s="11" t="s">
        <v>1109</v>
      </c>
      <c r="H174" s="12" t="s">
        <v>1110</v>
      </c>
      <c r="I174" s="11" t="s">
        <v>147</v>
      </c>
      <c r="J174" s="11"/>
      <c r="K174" s="11" t="s">
        <v>96</v>
      </c>
      <c r="L174" s="11" t="s">
        <v>99</v>
      </c>
      <c r="M174" s="11" t="s">
        <v>148</v>
      </c>
      <c r="N174" s="10"/>
      <c r="O174" s="11" t="str">
        <f aca="false">IF(N174="",IF(I174="Include","Include",J174),N174)</f>
        <v>Include</v>
      </c>
      <c r="P174" s="11" t="s">
        <v>1111</v>
      </c>
    </row>
    <row r="175" customFormat="false" ht="23.85" hidden="false" customHeight="false" outlineLevel="0" collapsed="false">
      <c r="A175" s="11" t="s">
        <v>1112</v>
      </c>
      <c r="B175" s="11" t="s">
        <v>30</v>
      </c>
      <c r="C175" s="2" t="s">
        <v>1113</v>
      </c>
      <c r="D175" s="11" t="n">
        <v>2024</v>
      </c>
      <c r="E175" s="11" t="s">
        <v>171</v>
      </c>
      <c r="F175" s="11" t="s">
        <v>1114</v>
      </c>
      <c r="G175" s="11" t="s">
        <v>1115</v>
      </c>
      <c r="H175" s="12" t="s">
        <v>1116</v>
      </c>
      <c r="I175" s="11" t="s">
        <v>147</v>
      </c>
      <c r="J175" s="11"/>
      <c r="K175" s="11" t="s">
        <v>96</v>
      </c>
      <c r="L175" s="11" t="s">
        <v>99</v>
      </c>
      <c r="M175" s="11" t="s">
        <v>148</v>
      </c>
      <c r="N175" s="10"/>
      <c r="O175" s="11" t="str">
        <f aca="false">IF(N175="",IF(I175="Include","Include",J175),N175)</f>
        <v>Include</v>
      </c>
      <c r="P175" s="11" t="s">
        <v>1117</v>
      </c>
    </row>
    <row r="176" customFormat="false" ht="23.85" hidden="false" customHeight="false" outlineLevel="0" collapsed="false">
      <c r="A176" s="11" t="s">
        <v>1118</v>
      </c>
      <c r="B176" s="11" t="s">
        <v>30</v>
      </c>
      <c r="C176" s="2" t="s">
        <v>1119</v>
      </c>
      <c r="D176" s="11" t="n">
        <v>2023</v>
      </c>
      <c r="E176" s="11" t="s">
        <v>171</v>
      </c>
      <c r="F176" s="11" t="s">
        <v>1120</v>
      </c>
      <c r="G176" s="11" t="s">
        <v>459</v>
      </c>
      <c r="H176" s="12" t="s">
        <v>1121</v>
      </c>
      <c r="I176" s="11" t="s">
        <v>147</v>
      </c>
      <c r="J176" s="11"/>
      <c r="K176" s="11" t="s">
        <v>96</v>
      </c>
      <c r="L176" s="11" t="s">
        <v>99</v>
      </c>
      <c r="M176" s="11" t="s">
        <v>210</v>
      </c>
      <c r="N176" s="10"/>
      <c r="O176" s="11" t="str">
        <f aca="false">IF(N176="",IF(I176="Include","Include",J176),N176)</f>
        <v>Include</v>
      </c>
      <c r="P176" s="11" t="s">
        <v>1122</v>
      </c>
    </row>
    <row r="177" customFormat="false" ht="15" hidden="false" customHeight="false" outlineLevel="0" collapsed="false">
      <c r="A177" s="11" t="s">
        <v>1123</v>
      </c>
      <c r="B177" s="11" t="s">
        <v>30</v>
      </c>
      <c r="C177" s="2" t="s">
        <v>1124</v>
      </c>
      <c r="D177" s="11" t="n">
        <v>2023</v>
      </c>
      <c r="E177" s="11" t="s">
        <v>143</v>
      </c>
      <c r="F177" s="11" t="s">
        <v>1125</v>
      </c>
      <c r="G177" s="11" t="s">
        <v>1126</v>
      </c>
      <c r="H177" s="12" t="s">
        <v>1127</v>
      </c>
      <c r="I177" s="11" t="s">
        <v>147</v>
      </c>
      <c r="J177" s="11"/>
      <c r="K177" s="11" t="s">
        <v>96</v>
      </c>
      <c r="L177" s="11" t="s">
        <v>99</v>
      </c>
      <c r="M177" s="11" t="s">
        <v>161</v>
      </c>
      <c r="N177" s="10"/>
      <c r="O177" s="11" t="str">
        <f aca="false">IF(N177="",IF(I177="Include","Include",J177),N177)</f>
        <v>Include</v>
      </c>
      <c r="P177" s="11" t="s">
        <v>1128</v>
      </c>
    </row>
    <row r="178" customFormat="false" ht="23.85" hidden="false" customHeight="false" outlineLevel="0" collapsed="false">
      <c r="A178" s="8" t="s">
        <v>1129</v>
      </c>
      <c r="B178" s="8" t="s">
        <v>30</v>
      </c>
      <c r="C178" s="9" t="s">
        <v>1130</v>
      </c>
      <c r="D178" s="8" t="n">
        <v>2024</v>
      </c>
      <c r="E178" s="8" t="s">
        <v>143</v>
      </c>
      <c r="F178" s="8" t="s">
        <v>1131</v>
      </c>
      <c r="G178" s="8" t="s">
        <v>1132</v>
      </c>
      <c r="H178" s="13" t="s">
        <v>1133</v>
      </c>
      <c r="I178" s="8" t="s">
        <v>139</v>
      </c>
      <c r="J178" s="8" t="s">
        <v>87</v>
      </c>
      <c r="K178" s="8"/>
      <c r="L178" s="8"/>
      <c r="M178" s="8"/>
      <c r="N178" s="10"/>
      <c r="O178" s="11" t="str">
        <f aca="false">IF(N178="",IF(I178="Include","Include",J178),N178)</f>
        <v>EC7</v>
      </c>
      <c r="P178" s="11" t="s">
        <v>1134</v>
      </c>
    </row>
    <row r="179" customFormat="false" ht="23.85" hidden="false" customHeight="false" outlineLevel="0" collapsed="false">
      <c r="A179" s="11" t="s">
        <v>1135</v>
      </c>
      <c r="B179" s="11" t="s">
        <v>30</v>
      </c>
      <c r="C179" s="2" t="s">
        <v>1136</v>
      </c>
      <c r="D179" s="11" t="n">
        <v>2026</v>
      </c>
      <c r="E179" s="11" t="s">
        <v>171</v>
      </c>
      <c r="F179" s="11" t="s">
        <v>1137</v>
      </c>
      <c r="G179" s="11" t="s">
        <v>387</v>
      </c>
      <c r="H179" s="12" t="s">
        <v>1138</v>
      </c>
      <c r="I179" s="11" t="s">
        <v>147</v>
      </c>
      <c r="J179" s="11"/>
      <c r="K179" s="11" t="s">
        <v>96</v>
      </c>
      <c r="L179" s="11" t="s">
        <v>105</v>
      </c>
      <c r="M179" s="11" t="s">
        <v>161</v>
      </c>
      <c r="N179" s="10"/>
      <c r="O179" s="11" t="str">
        <f aca="false">IF(N179="",IF(I179="Include","Include",J179),N179)</f>
        <v>Include</v>
      </c>
      <c r="P179" s="11" t="s">
        <v>1139</v>
      </c>
    </row>
    <row r="180" customFormat="false" ht="15" hidden="false" customHeight="false" outlineLevel="0" collapsed="false">
      <c r="A180" s="11" t="s">
        <v>1140</v>
      </c>
      <c r="B180" s="11" t="s">
        <v>30</v>
      </c>
      <c r="C180" s="2" t="s">
        <v>1141</v>
      </c>
      <c r="D180" s="11" t="n">
        <v>2022</v>
      </c>
      <c r="E180" s="11" t="s">
        <v>171</v>
      </c>
      <c r="F180" s="11" t="s">
        <v>1142</v>
      </c>
      <c r="G180" s="11" t="s">
        <v>758</v>
      </c>
      <c r="H180" s="12" t="s">
        <v>1143</v>
      </c>
      <c r="I180" s="11" t="s">
        <v>147</v>
      </c>
      <c r="J180" s="11"/>
      <c r="K180" s="11" t="s">
        <v>96</v>
      </c>
      <c r="L180" s="11" t="s">
        <v>101</v>
      </c>
      <c r="M180" s="11" t="s">
        <v>210</v>
      </c>
      <c r="N180" s="10"/>
      <c r="O180" s="11" t="str">
        <f aca="false">IF(N180="",IF(I180="Include","Include",J180),N180)</f>
        <v>Include</v>
      </c>
      <c r="P180" s="11" t="s">
        <v>1144</v>
      </c>
    </row>
    <row r="181" customFormat="false" ht="23.85" hidden="false" customHeight="false" outlineLevel="0" collapsed="false">
      <c r="A181" s="11" t="s">
        <v>1145</v>
      </c>
      <c r="B181" s="11" t="s">
        <v>30</v>
      </c>
      <c r="C181" s="2" t="s">
        <v>1146</v>
      </c>
      <c r="D181" s="11" t="n">
        <v>2020</v>
      </c>
      <c r="E181" s="11" t="s">
        <v>171</v>
      </c>
      <c r="F181" s="11" t="s">
        <v>1147</v>
      </c>
      <c r="G181" s="11" t="s">
        <v>1148</v>
      </c>
      <c r="H181" s="12" t="s">
        <v>1149</v>
      </c>
      <c r="I181" s="11" t="s">
        <v>147</v>
      </c>
      <c r="J181" s="11"/>
      <c r="K181" s="11" t="s">
        <v>96</v>
      </c>
      <c r="L181" s="11" t="s">
        <v>99</v>
      </c>
      <c r="M181" s="11" t="s">
        <v>161</v>
      </c>
      <c r="N181" s="10"/>
      <c r="O181" s="11" t="str">
        <f aca="false">IF(N181="",IF(I181="Include","Include",J181),N181)</f>
        <v>Include</v>
      </c>
      <c r="P181" s="11" t="s">
        <v>1150</v>
      </c>
    </row>
    <row r="182" customFormat="false" ht="15" hidden="false" customHeight="false" outlineLevel="0" collapsed="false">
      <c r="A182" s="11" t="s">
        <v>1151</v>
      </c>
      <c r="B182" s="11" t="s">
        <v>30</v>
      </c>
      <c r="C182" s="2" t="s">
        <v>1152</v>
      </c>
      <c r="D182" s="11" t="n">
        <v>2024</v>
      </c>
      <c r="E182" s="11" t="s">
        <v>143</v>
      </c>
      <c r="F182" s="11" t="s">
        <v>1153</v>
      </c>
      <c r="G182" s="11" t="s">
        <v>1154</v>
      </c>
      <c r="H182" s="12" t="s">
        <v>1155</v>
      </c>
      <c r="I182" s="11" t="s">
        <v>147</v>
      </c>
      <c r="J182" s="11"/>
      <c r="K182" s="11" t="s">
        <v>96</v>
      </c>
      <c r="L182" s="11" t="s">
        <v>99</v>
      </c>
      <c r="M182" s="11" t="s">
        <v>161</v>
      </c>
      <c r="N182" s="10"/>
      <c r="O182" s="11" t="str">
        <f aca="false">IF(N182="",IF(I182="Include","Include",J182),N182)</f>
        <v>Include</v>
      </c>
      <c r="P182" s="11" t="s">
        <v>1156</v>
      </c>
    </row>
    <row r="183" customFormat="false" ht="23.85" hidden="false" customHeight="false" outlineLevel="0" collapsed="false">
      <c r="A183" s="11" t="s">
        <v>1157</v>
      </c>
      <c r="B183" s="11" t="s">
        <v>30</v>
      </c>
      <c r="C183" s="2" t="s">
        <v>1158</v>
      </c>
      <c r="D183" s="11" t="n">
        <v>2020</v>
      </c>
      <c r="E183" s="11" t="s">
        <v>171</v>
      </c>
      <c r="F183" s="11" t="s">
        <v>1159</v>
      </c>
      <c r="G183" s="11" t="s">
        <v>560</v>
      </c>
      <c r="H183" s="12" t="s">
        <v>1160</v>
      </c>
      <c r="I183" s="11" t="s">
        <v>147</v>
      </c>
      <c r="J183" s="11"/>
      <c r="K183" s="11" t="s">
        <v>96</v>
      </c>
      <c r="L183" s="11" t="s">
        <v>99</v>
      </c>
      <c r="M183" s="11" t="s">
        <v>161</v>
      </c>
      <c r="N183" s="10"/>
      <c r="O183" s="11" t="str">
        <f aca="false">IF(N183="",IF(I183="Include","Include",J183),N183)</f>
        <v>Include</v>
      </c>
      <c r="P183" s="11" t="s">
        <v>1161</v>
      </c>
    </row>
    <row r="184" customFormat="false" ht="23.85" hidden="false" customHeight="false" outlineLevel="0" collapsed="false">
      <c r="A184" s="8" t="s">
        <v>1162</v>
      </c>
      <c r="B184" s="8" t="s">
        <v>30</v>
      </c>
      <c r="C184" s="9" t="s">
        <v>1163</v>
      </c>
      <c r="D184" s="8" t="n">
        <v>2026</v>
      </c>
      <c r="E184" s="8" t="s">
        <v>143</v>
      </c>
      <c r="F184" s="8" t="s">
        <v>1164</v>
      </c>
      <c r="G184" s="8" t="s">
        <v>1165</v>
      </c>
      <c r="H184" s="13" t="s">
        <v>1166</v>
      </c>
      <c r="I184" s="8" t="s">
        <v>139</v>
      </c>
      <c r="J184" s="8" t="s">
        <v>87</v>
      </c>
      <c r="K184" s="8"/>
      <c r="L184" s="8"/>
      <c r="M184" s="8"/>
      <c r="N184" s="10"/>
      <c r="O184" s="11" t="str">
        <f aca="false">IF(N184="",IF(I184="Include","Include",J184),N184)</f>
        <v>EC7</v>
      </c>
      <c r="P184" s="11" t="s">
        <v>1167</v>
      </c>
    </row>
    <row r="185" customFormat="false" ht="23.85" hidden="false" customHeight="false" outlineLevel="0" collapsed="false">
      <c r="A185" s="11" t="s">
        <v>1168</v>
      </c>
      <c r="B185" s="11" t="s">
        <v>30</v>
      </c>
      <c r="C185" s="2" t="s">
        <v>1169</v>
      </c>
      <c r="D185" s="11" t="n">
        <v>2025</v>
      </c>
      <c r="E185" s="11" t="s">
        <v>143</v>
      </c>
      <c r="F185" s="11" t="s">
        <v>1170</v>
      </c>
      <c r="G185" s="11" t="s">
        <v>1171</v>
      </c>
      <c r="H185" s="12" t="s">
        <v>1172</v>
      </c>
      <c r="I185" s="11" t="s">
        <v>147</v>
      </c>
      <c r="J185" s="11"/>
      <c r="K185" s="11" t="s">
        <v>96</v>
      </c>
      <c r="L185" s="11" t="s">
        <v>99</v>
      </c>
      <c r="M185" s="11" t="s">
        <v>161</v>
      </c>
      <c r="N185" s="10"/>
      <c r="O185" s="11" t="str">
        <f aca="false">IF(N185="",IF(I185="Include","Include",J185),N185)</f>
        <v>Include</v>
      </c>
      <c r="P185" s="11" t="s">
        <v>1173</v>
      </c>
    </row>
    <row r="186" customFormat="false" ht="23.85" hidden="false" customHeight="false" outlineLevel="0" collapsed="false">
      <c r="A186" s="8" t="s">
        <v>1174</v>
      </c>
      <c r="B186" s="8" t="s">
        <v>30</v>
      </c>
      <c r="C186" s="9" t="s">
        <v>1175</v>
      </c>
      <c r="D186" s="8" t="n">
        <v>2023</v>
      </c>
      <c r="E186" s="8" t="s">
        <v>171</v>
      </c>
      <c r="F186" s="8" t="s">
        <v>1176</v>
      </c>
      <c r="G186" s="8" t="s">
        <v>387</v>
      </c>
      <c r="H186" s="13" t="s">
        <v>1177</v>
      </c>
      <c r="I186" s="8" t="s">
        <v>139</v>
      </c>
      <c r="J186" s="8" t="s">
        <v>87</v>
      </c>
      <c r="K186" s="8"/>
      <c r="L186" s="8"/>
      <c r="M186" s="8"/>
      <c r="N186" s="10"/>
      <c r="O186" s="11" t="str">
        <f aca="false">IF(N186="",IF(I186="Include","Include",J186),N186)</f>
        <v>EC7</v>
      </c>
      <c r="P186" s="11" t="s">
        <v>1178</v>
      </c>
    </row>
    <row r="187" customFormat="false" ht="23.85" hidden="false" customHeight="false" outlineLevel="0" collapsed="false">
      <c r="A187" s="8" t="s">
        <v>1179</v>
      </c>
      <c r="B187" s="8" t="s">
        <v>30</v>
      </c>
      <c r="C187" s="9" t="s">
        <v>1180</v>
      </c>
      <c r="D187" s="8" t="n">
        <v>2026</v>
      </c>
      <c r="E187" s="8" t="s">
        <v>143</v>
      </c>
      <c r="F187" s="8" t="s">
        <v>1181</v>
      </c>
      <c r="G187" s="8" t="s">
        <v>1182</v>
      </c>
      <c r="H187" s="13" t="s">
        <v>1183</v>
      </c>
      <c r="I187" s="8" t="s">
        <v>139</v>
      </c>
      <c r="J187" s="8" t="s">
        <v>85</v>
      </c>
      <c r="K187" s="8"/>
      <c r="L187" s="8"/>
      <c r="M187" s="8"/>
      <c r="N187" s="10"/>
      <c r="O187" s="11" t="str">
        <f aca="false">IF(N187="",IF(I187="Include","Include",J187),N187)</f>
        <v>EC6</v>
      </c>
      <c r="P187" s="11" t="s">
        <v>1184</v>
      </c>
    </row>
    <row r="188" customFormat="false" ht="23.85" hidden="false" customHeight="false" outlineLevel="0" collapsed="false">
      <c r="A188" s="11" t="s">
        <v>1185</v>
      </c>
      <c r="B188" s="11" t="s">
        <v>30</v>
      </c>
      <c r="C188" s="2" t="s">
        <v>1186</v>
      </c>
      <c r="D188" s="11" t="n">
        <v>2026</v>
      </c>
      <c r="E188" s="11" t="s">
        <v>171</v>
      </c>
      <c r="F188" s="11" t="s">
        <v>1187</v>
      </c>
      <c r="G188" s="11" t="s">
        <v>1188</v>
      </c>
      <c r="H188" s="12" t="s">
        <v>1189</v>
      </c>
      <c r="I188" s="11" t="s">
        <v>147</v>
      </c>
      <c r="J188" s="11"/>
      <c r="K188" s="11" t="s">
        <v>96</v>
      </c>
      <c r="L188" s="11" t="s">
        <v>99</v>
      </c>
      <c r="M188" s="11" t="s">
        <v>161</v>
      </c>
      <c r="N188" s="10"/>
      <c r="O188" s="11" t="str">
        <f aca="false">IF(N188="",IF(I188="Include","Include",J188),N188)</f>
        <v>Include</v>
      </c>
      <c r="P188" s="11" t="s">
        <v>1190</v>
      </c>
    </row>
    <row r="189" customFormat="false" ht="23.85" hidden="false" customHeight="false" outlineLevel="0" collapsed="false">
      <c r="A189" s="11" t="s">
        <v>1191</v>
      </c>
      <c r="B189" s="11" t="s">
        <v>219</v>
      </c>
      <c r="C189" s="2" t="s">
        <v>1192</v>
      </c>
      <c r="D189" s="11" t="n">
        <v>2026</v>
      </c>
      <c r="E189" s="11" t="s">
        <v>143</v>
      </c>
      <c r="F189" s="11" t="s">
        <v>1193</v>
      </c>
      <c r="G189" s="11" t="s">
        <v>1194</v>
      </c>
      <c r="H189" s="12" t="s">
        <v>1195</v>
      </c>
      <c r="I189" s="11" t="s">
        <v>147</v>
      </c>
      <c r="J189" s="11"/>
      <c r="K189" s="11" t="s">
        <v>96</v>
      </c>
      <c r="L189" s="11" t="s">
        <v>105</v>
      </c>
      <c r="M189" s="11" t="s">
        <v>148</v>
      </c>
      <c r="N189" s="10"/>
      <c r="O189" s="11" t="str">
        <f aca="false">IF(N189="",IF(I189="Include","Include",J189),N189)</f>
        <v>Include</v>
      </c>
      <c r="P189" s="11" t="s">
        <v>1196</v>
      </c>
    </row>
    <row r="190" customFormat="false" ht="15" hidden="false" customHeight="false" outlineLevel="0" collapsed="false">
      <c r="A190" s="11" t="s">
        <v>1197</v>
      </c>
      <c r="B190" s="11" t="s">
        <v>30</v>
      </c>
      <c r="C190" s="2" t="s">
        <v>1198</v>
      </c>
      <c r="D190" s="11" t="n">
        <v>2025</v>
      </c>
      <c r="E190" s="11" t="s">
        <v>171</v>
      </c>
      <c r="F190" s="11" t="s">
        <v>1199</v>
      </c>
      <c r="G190" s="11" t="s">
        <v>1200</v>
      </c>
      <c r="H190" s="12" t="s">
        <v>1201</v>
      </c>
      <c r="I190" s="11" t="s">
        <v>147</v>
      </c>
      <c r="J190" s="11"/>
      <c r="K190" s="11" t="s">
        <v>96</v>
      </c>
      <c r="L190" s="11" t="s">
        <v>99</v>
      </c>
      <c r="M190" s="11" t="s">
        <v>148</v>
      </c>
      <c r="N190" s="10"/>
      <c r="O190" s="11" t="str">
        <f aca="false">IF(N190="",IF(I190="Include","Include",J190),N190)</f>
        <v>Include</v>
      </c>
      <c r="P190" s="11" t="s">
        <v>1202</v>
      </c>
    </row>
    <row r="191" customFormat="false" ht="23.85" hidden="false" customHeight="false" outlineLevel="0" collapsed="false">
      <c r="A191" s="11" t="s">
        <v>1203</v>
      </c>
      <c r="B191" s="11" t="s">
        <v>30</v>
      </c>
      <c r="C191" s="2" t="s">
        <v>1204</v>
      </c>
      <c r="D191" s="11" t="n">
        <v>2026</v>
      </c>
      <c r="E191" s="11" t="s">
        <v>171</v>
      </c>
      <c r="F191" s="11" t="s">
        <v>1205</v>
      </c>
      <c r="G191" s="11" t="s">
        <v>1206</v>
      </c>
      <c r="H191" s="12" t="s">
        <v>1207</v>
      </c>
      <c r="I191" s="11" t="s">
        <v>147</v>
      </c>
      <c r="J191" s="11"/>
      <c r="K191" s="11" t="s">
        <v>96</v>
      </c>
      <c r="L191" s="11" t="s">
        <v>103</v>
      </c>
      <c r="M191" s="11" t="s">
        <v>161</v>
      </c>
      <c r="N191" s="10"/>
      <c r="O191" s="11" t="str">
        <f aca="false">IF(N191="",IF(I191="Include","Include",J191),N191)</f>
        <v>Include</v>
      </c>
      <c r="P191" s="11" t="s">
        <v>1208</v>
      </c>
    </row>
    <row r="192" customFormat="false" ht="23.85" hidden="false" customHeight="false" outlineLevel="0" collapsed="false">
      <c r="A192" s="11" t="s">
        <v>1209</v>
      </c>
      <c r="B192" s="11" t="s">
        <v>30</v>
      </c>
      <c r="C192" s="2" t="s">
        <v>1210</v>
      </c>
      <c r="D192" s="11" t="n">
        <v>2023</v>
      </c>
      <c r="E192" s="11" t="s">
        <v>143</v>
      </c>
      <c r="F192" s="11" t="s">
        <v>1211</v>
      </c>
      <c r="G192" s="11" t="s">
        <v>1212</v>
      </c>
      <c r="H192" s="12" t="s">
        <v>1213</v>
      </c>
      <c r="I192" s="11" t="s">
        <v>147</v>
      </c>
      <c r="J192" s="11"/>
      <c r="K192" s="11" t="s">
        <v>96</v>
      </c>
      <c r="L192" s="11" t="s">
        <v>99</v>
      </c>
      <c r="M192" s="11" t="s">
        <v>148</v>
      </c>
      <c r="N192" s="10"/>
      <c r="O192" s="11" t="str">
        <f aca="false">IF(N192="",IF(I192="Include","Include",J192),N192)</f>
        <v>Include</v>
      </c>
      <c r="P192" s="11" t="s">
        <v>1214</v>
      </c>
    </row>
    <row r="193" customFormat="false" ht="23.85" hidden="false" customHeight="false" outlineLevel="0" collapsed="false">
      <c r="A193" s="8" t="s">
        <v>1215</v>
      </c>
      <c r="B193" s="8" t="s">
        <v>30</v>
      </c>
      <c r="C193" s="9" t="s">
        <v>1216</v>
      </c>
      <c r="D193" s="8" t="n">
        <v>2023</v>
      </c>
      <c r="E193" s="8" t="s">
        <v>143</v>
      </c>
      <c r="F193" s="8" t="s">
        <v>1217</v>
      </c>
      <c r="G193" s="8" t="s">
        <v>1218</v>
      </c>
      <c r="H193" s="13" t="s">
        <v>1219</v>
      </c>
      <c r="I193" s="8" t="s">
        <v>139</v>
      </c>
      <c r="J193" s="8" t="s">
        <v>77</v>
      </c>
      <c r="K193" s="8"/>
      <c r="L193" s="8"/>
      <c r="M193" s="8"/>
      <c r="N193" s="10"/>
      <c r="O193" s="11" t="str">
        <f aca="false">IF(N193="",IF(I193="Include","Include",J193),N193)</f>
        <v>EC2</v>
      </c>
      <c r="P193" s="11" t="s">
        <v>1220</v>
      </c>
    </row>
    <row r="194" customFormat="false" ht="23.85" hidden="false" customHeight="false" outlineLevel="0" collapsed="false">
      <c r="A194" s="8" t="s">
        <v>1221</v>
      </c>
      <c r="B194" s="8" t="s">
        <v>1222</v>
      </c>
      <c r="C194" s="9" t="s">
        <v>1223</v>
      </c>
      <c r="D194" s="8" t="n">
        <v>2026</v>
      </c>
      <c r="E194" s="8" t="s">
        <v>171</v>
      </c>
      <c r="F194" s="8" t="s">
        <v>1224</v>
      </c>
      <c r="G194" s="8" t="s">
        <v>1225</v>
      </c>
      <c r="H194" s="13" t="s">
        <v>1226</v>
      </c>
      <c r="I194" s="8" t="s">
        <v>139</v>
      </c>
      <c r="J194" s="8" t="s">
        <v>87</v>
      </c>
      <c r="K194" s="8"/>
      <c r="L194" s="8"/>
      <c r="M194" s="8"/>
      <c r="N194" s="10"/>
      <c r="O194" s="11" t="str">
        <f aca="false">IF(N194="",IF(I194="Include","Include",J194),N194)</f>
        <v>EC7</v>
      </c>
      <c r="P194" s="11" t="s">
        <v>1227</v>
      </c>
    </row>
    <row r="195" customFormat="false" ht="23.85" hidden="false" customHeight="false" outlineLevel="0" collapsed="false">
      <c r="A195" s="8" t="s">
        <v>1228</v>
      </c>
      <c r="B195" s="8" t="s">
        <v>30</v>
      </c>
      <c r="C195" s="9" t="s">
        <v>1229</v>
      </c>
      <c r="D195" s="8" t="n">
        <v>2018</v>
      </c>
      <c r="E195" s="8" t="s">
        <v>143</v>
      </c>
      <c r="F195" s="8" t="s">
        <v>1230</v>
      </c>
      <c r="G195" s="8" t="s">
        <v>1231</v>
      </c>
      <c r="H195" s="13" t="s">
        <v>1232</v>
      </c>
      <c r="I195" s="8" t="s">
        <v>139</v>
      </c>
      <c r="J195" s="8" t="s">
        <v>77</v>
      </c>
      <c r="K195" s="8"/>
      <c r="L195" s="8"/>
      <c r="M195" s="8"/>
      <c r="N195" s="10"/>
      <c r="O195" s="11" t="str">
        <f aca="false">IF(N195="",IF(I195="Include","Include",J195),N195)</f>
        <v>EC2</v>
      </c>
      <c r="P195" s="11" t="s">
        <v>1233</v>
      </c>
    </row>
    <row r="196" customFormat="false" ht="23.85" hidden="false" customHeight="false" outlineLevel="0" collapsed="false">
      <c r="A196" s="11" t="s">
        <v>1234</v>
      </c>
      <c r="B196" s="11" t="s">
        <v>30</v>
      </c>
      <c r="C196" s="2" t="s">
        <v>1235</v>
      </c>
      <c r="D196" s="11" t="n">
        <v>2026</v>
      </c>
      <c r="E196" s="11" t="s">
        <v>143</v>
      </c>
      <c r="F196" s="11" t="s">
        <v>1236</v>
      </c>
      <c r="G196" s="11" t="s">
        <v>1237</v>
      </c>
      <c r="H196" s="12" t="s">
        <v>1238</v>
      </c>
      <c r="I196" s="11" t="s">
        <v>147</v>
      </c>
      <c r="J196" s="11"/>
      <c r="K196" s="11" t="s">
        <v>96</v>
      </c>
      <c r="L196" s="11" t="s">
        <v>99</v>
      </c>
      <c r="M196" s="11" t="s">
        <v>161</v>
      </c>
      <c r="N196" s="10"/>
      <c r="O196" s="11" t="str">
        <f aca="false">IF(N196="",IF(I196="Include","Include",J196),N196)</f>
        <v>Include</v>
      </c>
      <c r="P196" s="11" t="s">
        <v>1239</v>
      </c>
    </row>
    <row r="197" customFormat="false" ht="23.85" hidden="false" customHeight="false" outlineLevel="0" collapsed="false">
      <c r="A197" s="11" t="s">
        <v>1240</v>
      </c>
      <c r="B197" s="11" t="s">
        <v>30</v>
      </c>
      <c r="C197" s="2" t="s">
        <v>1241</v>
      </c>
      <c r="D197" s="11" t="n">
        <v>2026</v>
      </c>
      <c r="E197" s="11" t="s">
        <v>171</v>
      </c>
      <c r="F197" s="11" t="s">
        <v>1242</v>
      </c>
      <c r="G197" s="11" t="s">
        <v>1243</v>
      </c>
      <c r="H197" s="12" t="s">
        <v>1244</v>
      </c>
      <c r="I197" s="11" t="s">
        <v>147</v>
      </c>
      <c r="J197" s="11"/>
      <c r="K197" s="11" t="s">
        <v>96</v>
      </c>
      <c r="L197" s="11" t="s">
        <v>97</v>
      </c>
      <c r="M197" s="11" t="s">
        <v>210</v>
      </c>
      <c r="N197" s="10"/>
      <c r="O197" s="11" t="str">
        <f aca="false">IF(N197="",IF(I197="Include","Include",J197),N197)</f>
        <v>Include</v>
      </c>
      <c r="P197" s="11" t="s">
        <v>1245</v>
      </c>
    </row>
    <row r="198" customFormat="false" ht="23.85" hidden="false" customHeight="false" outlineLevel="0" collapsed="false">
      <c r="A198" s="8" t="s">
        <v>1246</v>
      </c>
      <c r="B198" s="8" t="s">
        <v>219</v>
      </c>
      <c r="C198" s="9" t="s">
        <v>1247</v>
      </c>
      <c r="D198" s="8" t="n">
        <v>2020</v>
      </c>
      <c r="E198" s="8" t="s">
        <v>171</v>
      </c>
      <c r="F198" s="8"/>
      <c r="G198" s="8" t="s">
        <v>260</v>
      </c>
      <c r="H198" s="8"/>
      <c r="I198" s="8" t="s">
        <v>139</v>
      </c>
      <c r="J198" s="8" t="s">
        <v>81</v>
      </c>
      <c r="K198" s="8"/>
      <c r="L198" s="8"/>
      <c r="M198" s="8"/>
      <c r="N198" s="10"/>
      <c r="O198" s="11" t="str">
        <f aca="false">IF(N198="",IF(I198="Include","Include",J198),N198)</f>
        <v>EC4</v>
      </c>
      <c r="P198" s="11" t="s">
        <v>1248</v>
      </c>
    </row>
    <row r="199" customFormat="false" ht="35.05" hidden="false" customHeight="false" outlineLevel="0" collapsed="false">
      <c r="A199" s="11" t="s">
        <v>1249</v>
      </c>
      <c r="B199" s="11" t="s">
        <v>30</v>
      </c>
      <c r="C199" s="2" t="s">
        <v>1250</v>
      </c>
      <c r="D199" s="11" t="n">
        <v>2026</v>
      </c>
      <c r="E199" s="11" t="s">
        <v>171</v>
      </c>
      <c r="F199" s="11" t="s">
        <v>1251</v>
      </c>
      <c r="G199" s="11" t="s">
        <v>1252</v>
      </c>
      <c r="H199" s="12" t="s">
        <v>1253</v>
      </c>
      <c r="I199" s="11" t="s">
        <v>147</v>
      </c>
      <c r="J199" s="11"/>
      <c r="K199" s="11" t="s">
        <v>96</v>
      </c>
      <c r="L199" s="11" t="s">
        <v>99</v>
      </c>
      <c r="M199" s="11" t="s">
        <v>161</v>
      </c>
      <c r="N199" s="10"/>
      <c r="O199" s="11" t="str">
        <f aca="false">IF(N199="",IF(I199="Include","Include",J199),N199)</f>
        <v>Include</v>
      </c>
      <c r="P199" s="11" t="s">
        <v>1254</v>
      </c>
    </row>
    <row r="200" customFormat="false" ht="23.85" hidden="false" customHeight="false" outlineLevel="0" collapsed="false">
      <c r="A200" s="8" t="s">
        <v>1255</v>
      </c>
      <c r="B200" s="8" t="s">
        <v>30</v>
      </c>
      <c r="C200" s="9" t="s">
        <v>1256</v>
      </c>
      <c r="D200" s="8" t="n">
        <v>2025</v>
      </c>
      <c r="E200" s="8" t="s">
        <v>171</v>
      </c>
      <c r="F200" s="8" t="s">
        <v>1257</v>
      </c>
      <c r="G200" s="8" t="s">
        <v>329</v>
      </c>
      <c r="H200" s="13" t="s">
        <v>1258</v>
      </c>
      <c r="I200" s="8" t="s">
        <v>139</v>
      </c>
      <c r="J200" s="8" t="s">
        <v>85</v>
      </c>
      <c r="K200" s="8"/>
      <c r="L200" s="8"/>
      <c r="M200" s="8"/>
      <c r="N200" s="10"/>
      <c r="O200" s="11" t="str">
        <f aca="false">IF(N200="",IF(I200="Include","Include",J200),N200)</f>
        <v>EC6</v>
      </c>
      <c r="P200" s="11" t="s">
        <v>1259</v>
      </c>
    </row>
    <row r="201" customFormat="false" ht="35.05" hidden="false" customHeight="false" outlineLevel="0" collapsed="false">
      <c r="A201" s="11" t="s">
        <v>1260</v>
      </c>
      <c r="B201" s="11" t="s">
        <v>30</v>
      </c>
      <c r="C201" s="2" t="s">
        <v>1261</v>
      </c>
      <c r="D201" s="11" t="n">
        <v>2022</v>
      </c>
      <c r="E201" s="11" t="s">
        <v>171</v>
      </c>
      <c r="F201" s="11" t="s">
        <v>1262</v>
      </c>
      <c r="G201" s="11" t="s">
        <v>243</v>
      </c>
      <c r="H201" s="12" t="s">
        <v>1263</v>
      </c>
      <c r="I201" s="11" t="s">
        <v>147</v>
      </c>
      <c r="J201" s="11"/>
      <c r="K201" s="11" t="s">
        <v>96</v>
      </c>
      <c r="L201" s="11" t="s">
        <v>99</v>
      </c>
      <c r="M201" s="11" t="s">
        <v>161</v>
      </c>
      <c r="N201" s="10"/>
      <c r="O201" s="11" t="str">
        <f aca="false">IF(N201="",IF(I201="Include","Include",J201),N201)</f>
        <v>Include</v>
      </c>
      <c r="P201" s="11" t="s">
        <v>1264</v>
      </c>
    </row>
    <row r="202" customFormat="false" ht="23.85" hidden="false" customHeight="false" outlineLevel="0" collapsed="false">
      <c r="A202" s="11" t="s">
        <v>1265</v>
      </c>
      <c r="B202" s="11" t="s">
        <v>30</v>
      </c>
      <c r="C202" s="2" t="s">
        <v>1266</v>
      </c>
      <c r="D202" s="11" t="n">
        <v>2020</v>
      </c>
      <c r="E202" s="11" t="s">
        <v>143</v>
      </c>
      <c r="F202" s="11" t="s">
        <v>1267</v>
      </c>
      <c r="G202" s="11" t="s">
        <v>1268</v>
      </c>
      <c r="H202" s="12" t="s">
        <v>1269</v>
      </c>
      <c r="I202" s="11" t="s">
        <v>147</v>
      </c>
      <c r="J202" s="11"/>
      <c r="K202" s="11" t="s">
        <v>96</v>
      </c>
      <c r="L202" s="11" t="s">
        <v>99</v>
      </c>
      <c r="M202" s="11" t="s">
        <v>148</v>
      </c>
      <c r="N202" s="10"/>
      <c r="O202" s="11" t="str">
        <f aca="false">IF(N202="",IF(I202="Include","Include",J202),N202)</f>
        <v>Include</v>
      </c>
      <c r="P202" s="11" t="s">
        <v>1270</v>
      </c>
    </row>
    <row r="203" customFormat="false" ht="23.85" hidden="false" customHeight="false" outlineLevel="0" collapsed="false">
      <c r="A203" s="8" t="s">
        <v>1271</v>
      </c>
      <c r="B203" s="8" t="s">
        <v>30</v>
      </c>
      <c r="C203" s="9" t="s">
        <v>1272</v>
      </c>
      <c r="D203" s="8" t="n">
        <v>2024</v>
      </c>
      <c r="E203" s="8" t="s">
        <v>143</v>
      </c>
      <c r="F203" s="8" t="s">
        <v>1273</v>
      </c>
      <c r="G203" s="8" t="s">
        <v>1274</v>
      </c>
      <c r="H203" s="13" t="s">
        <v>1275</v>
      </c>
      <c r="I203" s="8" t="s">
        <v>139</v>
      </c>
      <c r="J203" s="8" t="s">
        <v>85</v>
      </c>
      <c r="K203" s="8"/>
      <c r="L203" s="8"/>
      <c r="M203" s="8"/>
      <c r="N203" s="10"/>
      <c r="O203" s="11" t="str">
        <f aca="false">IF(N203="",IF(I203="Include","Include",J203),N203)</f>
        <v>EC6</v>
      </c>
      <c r="P203" s="11" t="s">
        <v>1276</v>
      </c>
    </row>
    <row r="204" customFormat="false" ht="35.05" hidden="false" customHeight="false" outlineLevel="0" collapsed="false">
      <c r="A204" s="8" t="s">
        <v>1277</v>
      </c>
      <c r="B204" s="8" t="s">
        <v>30</v>
      </c>
      <c r="C204" s="9" t="s">
        <v>1278</v>
      </c>
      <c r="D204" s="8" t="n">
        <v>2019</v>
      </c>
      <c r="E204" s="8" t="s">
        <v>143</v>
      </c>
      <c r="F204" s="8" t="s">
        <v>1279</v>
      </c>
      <c r="G204" s="8" t="s">
        <v>1280</v>
      </c>
      <c r="H204" s="13" t="s">
        <v>1281</v>
      </c>
      <c r="I204" s="8" t="s">
        <v>139</v>
      </c>
      <c r="J204" s="8" t="s">
        <v>81</v>
      </c>
      <c r="K204" s="8"/>
      <c r="L204" s="8"/>
      <c r="M204" s="8"/>
      <c r="N204" s="10"/>
      <c r="O204" s="11" t="str">
        <f aca="false">IF(N204="",IF(I204="Include","Include",J204),N204)</f>
        <v>EC4</v>
      </c>
      <c r="P204" s="11" t="s">
        <v>1282</v>
      </c>
    </row>
    <row r="205" customFormat="false" ht="15" hidden="false" customHeight="false" outlineLevel="0" collapsed="false">
      <c r="A205" s="11" t="s">
        <v>1283</v>
      </c>
      <c r="B205" s="11" t="s">
        <v>30</v>
      </c>
      <c r="C205" s="2" t="s">
        <v>1284</v>
      </c>
      <c r="D205" s="11" t="n">
        <v>2023</v>
      </c>
      <c r="E205" s="11" t="s">
        <v>171</v>
      </c>
      <c r="F205" s="11" t="s">
        <v>1285</v>
      </c>
      <c r="G205" s="11" t="s">
        <v>329</v>
      </c>
      <c r="H205" s="12" t="s">
        <v>1286</v>
      </c>
      <c r="I205" s="11" t="s">
        <v>147</v>
      </c>
      <c r="J205" s="11"/>
      <c r="K205" s="11" t="s">
        <v>96</v>
      </c>
      <c r="L205" s="11" t="s">
        <v>103</v>
      </c>
      <c r="M205" s="11" t="s">
        <v>148</v>
      </c>
      <c r="N205" s="10"/>
      <c r="O205" s="11" t="str">
        <f aca="false">IF(N205="",IF(I205="Include","Include",J205),N205)</f>
        <v>Include</v>
      </c>
      <c r="P205" s="11" t="s">
        <v>1287</v>
      </c>
    </row>
    <row r="206" customFormat="false" ht="23.85" hidden="false" customHeight="false" outlineLevel="0" collapsed="false">
      <c r="A206" s="11" t="s">
        <v>1288</v>
      </c>
      <c r="B206" s="11" t="s">
        <v>30</v>
      </c>
      <c r="C206" s="2" t="s">
        <v>1289</v>
      </c>
      <c r="D206" s="11" t="n">
        <v>2024</v>
      </c>
      <c r="E206" s="11" t="s">
        <v>143</v>
      </c>
      <c r="F206" s="11" t="s">
        <v>1290</v>
      </c>
      <c r="G206" s="11" t="s">
        <v>1291</v>
      </c>
      <c r="H206" s="12" t="s">
        <v>1292</v>
      </c>
      <c r="I206" s="11" t="s">
        <v>147</v>
      </c>
      <c r="J206" s="11"/>
      <c r="K206" s="11" t="s">
        <v>96</v>
      </c>
      <c r="L206" s="11" t="s">
        <v>101</v>
      </c>
      <c r="M206" s="11" t="s">
        <v>148</v>
      </c>
      <c r="N206" s="10"/>
      <c r="O206" s="11" t="str">
        <f aca="false">IF(N206="",IF(I206="Include","Include",J206),N206)</f>
        <v>Include</v>
      </c>
      <c r="P206" s="11" t="s">
        <v>1293</v>
      </c>
    </row>
    <row r="207" customFormat="false" ht="23.85" hidden="false" customHeight="false" outlineLevel="0" collapsed="false">
      <c r="A207" s="8" t="s">
        <v>1294</v>
      </c>
      <c r="B207" s="8" t="s">
        <v>30</v>
      </c>
      <c r="C207" s="9" t="s">
        <v>1295</v>
      </c>
      <c r="D207" s="8" t="n">
        <v>2022</v>
      </c>
      <c r="E207" s="8" t="s">
        <v>143</v>
      </c>
      <c r="F207" s="8" t="s">
        <v>1296</v>
      </c>
      <c r="G207" s="8" t="s">
        <v>1297</v>
      </c>
      <c r="H207" s="13" t="s">
        <v>1298</v>
      </c>
      <c r="I207" s="8" t="s">
        <v>139</v>
      </c>
      <c r="J207" s="8" t="s">
        <v>81</v>
      </c>
      <c r="K207" s="8"/>
      <c r="L207" s="8"/>
      <c r="M207" s="8"/>
      <c r="N207" s="10"/>
      <c r="O207" s="11" t="str">
        <f aca="false">IF(N207="",IF(I207="Include","Include",J207),N207)</f>
        <v>EC4</v>
      </c>
      <c r="P207" s="11" t="s">
        <v>1299</v>
      </c>
    </row>
    <row r="208" customFormat="false" ht="15" hidden="false" customHeight="false" outlineLevel="0" collapsed="false">
      <c r="A208" s="11" t="s">
        <v>1300</v>
      </c>
      <c r="B208" s="11" t="s">
        <v>30</v>
      </c>
      <c r="C208" s="2" t="s">
        <v>1301</v>
      </c>
      <c r="D208" s="11" t="n">
        <v>2020</v>
      </c>
      <c r="E208" s="11" t="s">
        <v>171</v>
      </c>
      <c r="F208" s="11" t="s">
        <v>1302</v>
      </c>
      <c r="G208" s="11" t="s">
        <v>1303</v>
      </c>
      <c r="H208" s="12" t="s">
        <v>1304</v>
      </c>
      <c r="I208" s="11" t="s">
        <v>147</v>
      </c>
      <c r="J208" s="11"/>
      <c r="K208" s="11" t="s">
        <v>96</v>
      </c>
      <c r="L208" s="11" t="s">
        <v>103</v>
      </c>
      <c r="M208" s="11" t="s">
        <v>161</v>
      </c>
      <c r="N208" s="10"/>
      <c r="O208" s="11" t="str">
        <f aca="false">IF(N208="",IF(I208="Include","Include",J208),N208)</f>
        <v>Include</v>
      </c>
      <c r="P208" s="11" t="s">
        <v>1305</v>
      </c>
    </row>
    <row r="209" customFormat="false" ht="15" hidden="false" customHeight="false" outlineLevel="0" collapsed="false">
      <c r="A209" s="11" t="s">
        <v>1306</v>
      </c>
      <c r="B209" s="11" t="s">
        <v>30</v>
      </c>
      <c r="C209" s="2" t="s">
        <v>1307</v>
      </c>
      <c r="D209" s="11" t="n">
        <v>2018</v>
      </c>
      <c r="E209" s="11" t="s">
        <v>143</v>
      </c>
      <c r="F209" s="11" t="s">
        <v>1308</v>
      </c>
      <c r="G209" s="11" t="s">
        <v>904</v>
      </c>
      <c r="H209" s="12" t="s">
        <v>1309</v>
      </c>
      <c r="I209" s="11" t="s">
        <v>147</v>
      </c>
      <c r="J209" s="11"/>
      <c r="K209" s="11" t="s">
        <v>96</v>
      </c>
      <c r="L209" s="11" t="s">
        <v>99</v>
      </c>
      <c r="M209" s="11" t="s">
        <v>161</v>
      </c>
      <c r="N209" s="10"/>
      <c r="O209" s="11" t="str">
        <f aca="false">IF(N209="",IF(I209="Include","Include",J209),N209)</f>
        <v>Include</v>
      </c>
      <c r="P209" s="11" t="s">
        <v>1310</v>
      </c>
    </row>
    <row r="210" customFormat="false" ht="35.05" hidden="false" customHeight="false" outlineLevel="0" collapsed="false">
      <c r="A210" s="11" t="s">
        <v>1311</v>
      </c>
      <c r="B210" s="11" t="s">
        <v>30</v>
      </c>
      <c r="C210" s="2" t="s">
        <v>1312</v>
      </c>
      <c r="D210" s="11" t="n">
        <v>2026</v>
      </c>
      <c r="E210" s="11" t="s">
        <v>171</v>
      </c>
      <c r="F210" s="11" t="s">
        <v>1313</v>
      </c>
      <c r="G210" s="11" t="s">
        <v>329</v>
      </c>
      <c r="H210" s="12" t="s">
        <v>1314</v>
      </c>
      <c r="I210" s="11" t="s">
        <v>147</v>
      </c>
      <c r="J210" s="11"/>
      <c r="K210" s="11" t="s">
        <v>96</v>
      </c>
      <c r="L210" s="11" t="s">
        <v>103</v>
      </c>
      <c r="M210" s="11" t="s">
        <v>161</v>
      </c>
      <c r="N210" s="10"/>
      <c r="O210" s="11" t="str">
        <f aca="false">IF(N210="",IF(I210="Include","Include",J210),N210)</f>
        <v>Include</v>
      </c>
      <c r="P210" s="11" t="s">
        <v>1315</v>
      </c>
    </row>
    <row r="211" customFormat="false" ht="23.85" hidden="false" customHeight="false" outlineLevel="0" collapsed="false">
      <c r="A211" s="11" t="s">
        <v>1316</v>
      </c>
      <c r="B211" s="11" t="s">
        <v>30</v>
      </c>
      <c r="C211" s="2" t="s">
        <v>1317</v>
      </c>
      <c r="D211" s="11" t="n">
        <v>2022</v>
      </c>
      <c r="E211" s="11" t="s">
        <v>171</v>
      </c>
      <c r="F211" s="11" t="s">
        <v>1318</v>
      </c>
      <c r="G211" s="11" t="s">
        <v>459</v>
      </c>
      <c r="H211" s="12" t="s">
        <v>1319</v>
      </c>
      <c r="I211" s="11" t="s">
        <v>147</v>
      </c>
      <c r="J211" s="11"/>
      <c r="K211" s="11" t="s">
        <v>96</v>
      </c>
      <c r="L211" s="11" t="s">
        <v>99</v>
      </c>
      <c r="M211" s="11" t="s">
        <v>148</v>
      </c>
      <c r="N211" s="10"/>
      <c r="O211" s="11" t="str">
        <f aca="false">IF(N211="",IF(I211="Include","Include",J211),N211)</f>
        <v>Include</v>
      </c>
      <c r="P211" s="11" t="s">
        <v>1320</v>
      </c>
    </row>
    <row r="212" customFormat="false" ht="15" hidden="false" customHeight="false" outlineLevel="0" collapsed="false">
      <c r="A212" s="11" t="s">
        <v>1321</v>
      </c>
      <c r="B212" s="11" t="s">
        <v>219</v>
      </c>
      <c r="C212" s="2" t="s">
        <v>1322</v>
      </c>
      <c r="D212" s="11" t="n">
        <v>2025</v>
      </c>
      <c r="E212" s="11" t="s">
        <v>143</v>
      </c>
      <c r="F212" s="11" t="s">
        <v>1323</v>
      </c>
      <c r="G212" s="11" t="s">
        <v>1324</v>
      </c>
      <c r="H212" s="12" t="s">
        <v>1325</v>
      </c>
      <c r="I212" s="11" t="s">
        <v>147</v>
      </c>
      <c r="J212" s="11"/>
      <c r="K212" s="11" t="s">
        <v>109</v>
      </c>
      <c r="L212" s="11" t="s">
        <v>107</v>
      </c>
      <c r="M212" s="11" t="s">
        <v>148</v>
      </c>
      <c r="N212" s="10"/>
      <c r="O212" s="11" t="str">
        <f aca="false">IF(N212="",IF(I212="Include","Include",J212),N212)</f>
        <v>Include</v>
      </c>
      <c r="P212" s="11" t="s">
        <v>1326</v>
      </c>
    </row>
    <row r="213" customFormat="false" ht="15" hidden="false" customHeight="false" outlineLevel="0" collapsed="false">
      <c r="A213" s="11" t="s">
        <v>1327</v>
      </c>
      <c r="B213" s="11" t="s">
        <v>30</v>
      </c>
      <c r="C213" s="2" t="s">
        <v>1328</v>
      </c>
      <c r="D213" s="11" t="n">
        <v>2020</v>
      </c>
      <c r="E213" s="11" t="s">
        <v>143</v>
      </c>
      <c r="F213" s="11" t="s">
        <v>1329</v>
      </c>
      <c r="G213" s="11" t="s">
        <v>1330</v>
      </c>
      <c r="H213" s="12" t="s">
        <v>1331</v>
      </c>
      <c r="I213" s="11" t="s">
        <v>147</v>
      </c>
      <c r="J213" s="11"/>
      <c r="K213" s="11" t="s">
        <v>96</v>
      </c>
      <c r="L213" s="11" t="s">
        <v>99</v>
      </c>
      <c r="M213" s="11" t="s">
        <v>148</v>
      </c>
      <c r="N213" s="10"/>
      <c r="O213" s="11" t="str">
        <f aca="false">IF(N213="",IF(I213="Include","Include",J213),N213)</f>
        <v>Include</v>
      </c>
      <c r="P213" s="11" t="s">
        <v>1332</v>
      </c>
    </row>
    <row r="214" customFormat="false" ht="23.85" hidden="false" customHeight="false" outlineLevel="0" collapsed="false">
      <c r="A214" s="8" t="s">
        <v>1333</v>
      </c>
      <c r="B214" s="8" t="s">
        <v>30</v>
      </c>
      <c r="C214" s="9" t="s">
        <v>1334</v>
      </c>
      <c r="D214" s="8" t="n">
        <v>2019</v>
      </c>
      <c r="E214" s="8" t="s">
        <v>171</v>
      </c>
      <c r="F214" s="8" t="s">
        <v>1335</v>
      </c>
      <c r="G214" s="8" t="s">
        <v>1336</v>
      </c>
      <c r="H214" s="13" t="s">
        <v>1337</v>
      </c>
      <c r="I214" s="8" t="s">
        <v>139</v>
      </c>
      <c r="J214" s="8" t="s">
        <v>87</v>
      </c>
      <c r="K214" s="8"/>
      <c r="L214" s="8"/>
      <c r="M214" s="8"/>
      <c r="N214" s="10"/>
      <c r="O214" s="11" t="str">
        <f aca="false">IF(N214="",IF(I214="Include","Include",J214),N214)</f>
        <v>EC7</v>
      </c>
      <c r="P214" s="11" t="s">
        <v>1338</v>
      </c>
    </row>
    <row r="215" customFormat="false" ht="23.85" hidden="false" customHeight="false" outlineLevel="0" collapsed="false">
      <c r="A215" s="8" t="s">
        <v>1339</v>
      </c>
      <c r="B215" s="8" t="s">
        <v>30</v>
      </c>
      <c r="C215" s="9" t="s">
        <v>1340</v>
      </c>
      <c r="D215" s="8" t="n">
        <v>2025</v>
      </c>
      <c r="E215" s="8" t="s">
        <v>171</v>
      </c>
      <c r="F215" s="8" t="s">
        <v>1341</v>
      </c>
      <c r="G215" s="8" t="s">
        <v>1342</v>
      </c>
      <c r="H215" s="13" t="s">
        <v>1343</v>
      </c>
      <c r="I215" s="8" t="s">
        <v>139</v>
      </c>
      <c r="J215" s="8" t="s">
        <v>85</v>
      </c>
      <c r="K215" s="8"/>
      <c r="L215" s="8"/>
      <c r="M215" s="8"/>
      <c r="N215" s="10"/>
      <c r="O215" s="11" t="str">
        <f aca="false">IF(N215="",IF(I215="Include","Include",J215),N215)</f>
        <v>EC6</v>
      </c>
      <c r="P215" s="11" t="s">
        <v>1344</v>
      </c>
    </row>
    <row r="216" customFormat="false" ht="23.85" hidden="false" customHeight="false" outlineLevel="0" collapsed="false">
      <c r="A216" s="8" t="s">
        <v>1345</v>
      </c>
      <c r="B216" s="8" t="s">
        <v>30</v>
      </c>
      <c r="C216" s="9" t="s">
        <v>1346</v>
      </c>
      <c r="D216" s="8" t="n">
        <v>2023</v>
      </c>
      <c r="E216" s="8" t="s">
        <v>143</v>
      </c>
      <c r="F216" s="8" t="s">
        <v>1347</v>
      </c>
      <c r="G216" s="8" t="s">
        <v>1059</v>
      </c>
      <c r="H216" s="13" t="s">
        <v>1348</v>
      </c>
      <c r="I216" s="8" t="s">
        <v>139</v>
      </c>
      <c r="J216" s="8" t="s">
        <v>87</v>
      </c>
      <c r="K216" s="8"/>
      <c r="L216" s="8"/>
      <c r="M216" s="8"/>
      <c r="N216" s="10"/>
      <c r="O216" s="11" t="str">
        <f aca="false">IF(N216="",IF(I216="Include","Include",J216),N216)</f>
        <v>EC7</v>
      </c>
      <c r="P216" s="11" t="s">
        <v>1349</v>
      </c>
    </row>
    <row r="217" customFormat="false" ht="23.85" hidden="false" customHeight="false" outlineLevel="0" collapsed="false">
      <c r="A217" s="8" t="s">
        <v>1350</v>
      </c>
      <c r="B217" s="8" t="s">
        <v>30</v>
      </c>
      <c r="C217" s="9" t="s">
        <v>1351</v>
      </c>
      <c r="D217" s="8" t="n">
        <v>2026</v>
      </c>
      <c r="E217" s="8" t="s">
        <v>171</v>
      </c>
      <c r="F217" s="8"/>
      <c r="G217" s="8" t="s">
        <v>1237</v>
      </c>
      <c r="H217" s="8"/>
      <c r="I217" s="8" t="s">
        <v>139</v>
      </c>
      <c r="J217" s="8" t="s">
        <v>81</v>
      </c>
      <c r="K217" s="8"/>
      <c r="L217" s="8"/>
      <c r="M217" s="8"/>
      <c r="N217" s="10"/>
      <c r="O217" s="11" t="str">
        <f aca="false">IF(N217="",IF(I217="Include","Include",J217),N217)</f>
        <v>EC4</v>
      </c>
      <c r="P217" s="11" t="s">
        <v>1352</v>
      </c>
    </row>
    <row r="218" customFormat="false" ht="23.85" hidden="false" customHeight="false" outlineLevel="0" collapsed="false">
      <c r="A218" s="8" t="s">
        <v>1353</v>
      </c>
      <c r="B218" s="8" t="s">
        <v>30</v>
      </c>
      <c r="C218" s="9" t="s">
        <v>166</v>
      </c>
      <c r="D218" s="8" t="n">
        <v>2023</v>
      </c>
      <c r="E218" s="8" t="s">
        <v>138</v>
      </c>
      <c r="F218" s="8"/>
      <c r="G218" s="8" t="s">
        <v>166</v>
      </c>
      <c r="H218" s="8"/>
      <c r="I218" s="8" t="s">
        <v>139</v>
      </c>
      <c r="J218" s="8" t="s">
        <v>81</v>
      </c>
      <c r="K218" s="8"/>
      <c r="L218" s="8"/>
      <c r="M218" s="8"/>
      <c r="N218" s="10"/>
      <c r="O218" s="11" t="str">
        <f aca="false">IF(N218="",IF(I218="Include","Include",J218),N218)</f>
        <v>EC4</v>
      </c>
      <c r="P218" s="11" t="s">
        <v>1354</v>
      </c>
    </row>
    <row r="219" customFormat="false" ht="23.85" hidden="false" customHeight="false" outlineLevel="0" collapsed="false">
      <c r="A219" s="8" t="s">
        <v>1355</v>
      </c>
      <c r="B219" s="8" t="s">
        <v>37</v>
      </c>
      <c r="C219" s="9" t="s">
        <v>1356</v>
      </c>
      <c r="D219" s="8" t="n">
        <v>2026</v>
      </c>
      <c r="E219" s="8" t="s">
        <v>143</v>
      </c>
      <c r="F219" s="8" t="s">
        <v>1357</v>
      </c>
      <c r="G219" s="8" t="s">
        <v>481</v>
      </c>
      <c r="H219" s="13" t="s">
        <v>1358</v>
      </c>
      <c r="I219" s="8" t="s">
        <v>139</v>
      </c>
      <c r="J219" s="8" t="s">
        <v>85</v>
      </c>
      <c r="K219" s="8"/>
      <c r="L219" s="8"/>
      <c r="M219" s="8"/>
      <c r="N219" s="10"/>
      <c r="O219" s="11" t="str">
        <f aca="false">IF(N219="",IF(I219="Include","Include",J219),N219)</f>
        <v>EC6</v>
      </c>
      <c r="P219" s="11" t="s">
        <v>1359</v>
      </c>
    </row>
    <row r="220" customFormat="false" ht="15" hidden="false" customHeight="false" outlineLevel="0" collapsed="false">
      <c r="A220" s="8" t="s">
        <v>1360</v>
      </c>
      <c r="B220" s="8" t="s">
        <v>37</v>
      </c>
      <c r="C220" s="9" t="s">
        <v>1361</v>
      </c>
      <c r="D220" s="8" t="n">
        <v>2026</v>
      </c>
      <c r="E220" s="8" t="s">
        <v>143</v>
      </c>
      <c r="F220" s="8" t="s">
        <v>1362</v>
      </c>
      <c r="G220" s="8" t="s">
        <v>1218</v>
      </c>
      <c r="H220" s="13" t="s">
        <v>1363</v>
      </c>
      <c r="I220" s="8" t="s">
        <v>139</v>
      </c>
      <c r="J220" s="8" t="s">
        <v>87</v>
      </c>
      <c r="K220" s="8"/>
      <c r="L220" s="8"/>
      <c r="M220" s="8"/>
      <c r="N220" s="10"/>
      <c r="O220" s="11" t="str">
        <f aca="false">IF(N220="",IF(I220="Include","Include",J220),N220)</f>
        <v>EC7</v>
      </c>
      <c r="P220" s="11" t="s">
        <v>1364</v>
      </c>
    </row>
    <row r="221" customFormat="false" ht="15" hidden="false" customHeight="false" outlineLevel="0" collapsed="false">
      <c r="A221" s="8" t="s">
        <v>1365</v>
      </c>
      <c r="B221" s="8" t="s">
        <v>37</v>
      </c>
      <c r="C221" s="9" t="s">
        <v>1366</v>
      </c>
      <c r="D221" s="8" t="n">
        <v>2021</v>
      </c>
      <c r="E221" s="8" t="s">
        <v>577</v>
      </c>
      <c r="F221" s="8" t="s">
        <v>1367</v>
      </c>
      <c r="G221" s="8" t="s">
        <v>1368</v>
      </c>
      <c r="H221" s="13" t="s">
        <v>1369</v>
      </c>
      <c r="I221" s="8" t="s">
        <v>139</v>
      </c>
      <c r="J221" s="8" t="s">
        <v>85</v>
      </c>
      <c r="K221" s="8"/>
      <c r="L221" s="8"/>
      <c r="M221" s="8"/>
      <c r="N221" s="10"/>
      <c r="O221" s="11" t="str">
        <f aca="false">IF(N221="",IF(I221="Include","Include",J221),N221)</f>
        <v>EC6</v>
      </c>
      <c r="P221" s="11" t="s">
        <v>1370</v>
      </c>
    </row>
    <row r="222" customFormat="false" ht="23.85" hidden="false" customHeight="false" outlineLevel="0" collapsed="false">
      <c r="A222" s="8" t="s">
        <v>1371</v>
      </c>
      <c r="B222" s="8" t="s">
        <v>37</v>
      </c>
      <c r="C222" s="9" t="s">
        <v>1372</v>
      </c>
      <c r="D222" s="8" t="n">
        <v>2021</v>
      </c>
      <c r="E222" s="8" t="s">
        <v>138</v>
      </c>
      <c r="F222" s="8"/>
      <c r="G222" s="8" t="s">
        <v>1373</v>
      </c>
      <c r="H222" s="8"/>
      <c r="I222" s="8" t="s">
        <v>139</v>
      </c>
      <c r="J222" s="8" t="s">
        <v>81</v>
      </c>
      <c r="K222" s="8"/>
      <c r="L222" s="8"/>
      <c r="M222" s="8"/>
      <c r="N222" s="10"/>
      <c r="O222" s="11" t="str">
        <f aca="false">IF(N222="",IF(I222="Include","Include",J222),N222)</f>
        <v>EC4</v>
      </c>
      <c r="P222" s="11" t="s">
        <v>1374</v>
      </c>
    </row>
    <row r="223" customFormat="false" ht="15" hidden="false" customHeight="false" outlineLevel="0" collapsed="false">
      <c r="A223" s="8" t="s">
        <v>1375</v>
      </c>
      <c r="B223" s="8" t="s">
        <v>37</v>
      </c>
      <c r="C223" s="9" t="s">
        <v>1376</v>
      </c>
      <c r="D223" s="8" t="n">
        <v>2026</v>
      </c>
      <c r="E223" s="8" t="s">
        <v>143</v>
      </c>
      <c r="F223" s="8" t="s">
        <v>1377</v>
      </c>
      <c r="G223" s="8" t="s">
        <v>1378</v>
      </c>
      <c r="H223" s="13" t="s">
        <v>1379</v>
      </c>
      <c r="I223" s="8" t="s">
        <v>139</v>
      </c>
      <c r="J223" s="8" t="s">
        <v>81</v>
      </c>
      <c r="K223" s="8"/>
      <c r="L223" s="8"/>
      <c r="M223" s="8"/>
      <c r="N223" s="10"/>
      <c r="O223" s="11" t="str">
        <f aca="false">IF(N223="",IF(I223="Include","Include",J223),N223)</f>
        <v>EC4</v>
      </c>
      <c r="P223" s="11" t="s">
        <v>1380</v>
      </c>
    </row>
    <row r="224" customFormat="false" ht="23.85" hidden="false" customHeight="false" outlineLevel="0" collapsed="false">
      <c r="A224" s="8" t="s">
        <v>1381</v>
      </c>
      <c r="B224" s="8" t="s">
        <v>37</v>
      </c>
      <c r="C224" s="9" t="s">
        <v>1382</v>
      </c>
      <c r="D224" s="8" t="n">
        <v>2019</v>
      </c>
      <c r="E224" s="8" t="s">
        <v>138</v>
      </c>
      <c r="F224" s="8"/>
      <c r="G224" s="8" t="s">
        <v>1383</v>
      </c>
      <c r="H224" s="8"/>
      <c r="I224" s="8" t="s">
        <v>139</v>
      </c>
      <c r="J224" s="8" t="s">
        <v>81</v>
      </c>
      <c r="K224" s="8"/>
      <c r="L224" s="8"/>
      <c r="M224" s="8"/>
      <c r="N224" s="10"/>
      <c r="O224" s="11" t="str">
        <f aca="false">IF(N224="",IF(I224="Include","Include",J224),N224)</f>
        <v>EC4</v>
      </c>
      <c r="P224" s="11" t="s">
        <v>1384</v>
      </c>
    </row>
    <row r="225" customFormat="false" ht="23.85" hidden="false" customHeight="false" outlineLevel="0" collapsed="false">
      <c r="A225" s="8" t="s">
        <v>1385</v>
      </c>
      <c r="B225" s="8" t="s">
        <v>37</v>
      </c>
      <c r="C225" s="9" t="s">
        <v>1386</v>
      </c>
      <c r="D225" s="8" t="n">
        <v>2021</v>
      </c>
      <c r="E225" s="8" t="s">
        <v>138</v>
      </c>
      <c r="F225" s="8"/>
      <c r="G225" s="8" t="s">
        <v>1386</v>
      </c>
      <c r="H225" s="8"/>
      <c r="I225" s="8" t="s">
        <v>139</v>
      </c>
      <c r="J225" s="8" t="s">
        <v>81</v>
      </c>
      <c r="K225" s="8"/>
      <c r="L225" s="8"/>
      <c r="M225" s="8"/>
      <c r="N225" s="10"/>
      <c r="O225" s="11" t="str">
        <f aca="false">IF(N225="",IF(I225="Include","Include",J225),N225)</f>
        <v>EC4</v>
      </c>
      <c r="P225" s="11" t="s">
        <v>1387</v>
      </c>
    </row>
    <row r="226" customFormat="false" ht="35.05" hidden="false" customHeight="false" outlineLevel="0" collapsed="false">
      <c r="A226" s="8" t="s">
        <v>1388</v>
      </c>
      <c r="B226" s="8" t="s">
        <v>37</v>
      </c>
      <c r="C226" s="9" t="s">
        <v>1389</v>
      </c>
      <c r="D226" s="8" t="n">
        <v>2026</v>
      </c>
      <c r="E226" s="8" t="s">
        <v>143</v>
      </c>
      <c r="F226" s="8" t="s">
        <v>1390</v>
      </c>
      <c r="G226" s="8" t="s">
        <v>1391</v>
      </c>
      <c r="H226" s="13" t="s">
        <v>1392</v>
      </c>
      <c r="I226" s="8" t="s">
        <v>139</v>
      </c>
      <c r="J226" s="8" t="s">
        <v>87</v>
      </c>
      <c r="K226" s="8"/>
      <c r="L226" s="8"/>
      <c r="M226" s="8"/>
      <c r="N226" s="10"/>
      <c r="O226" s="11" t="str">
        <f aca="false">IF(N226="",IF(I226="Include","Include",J226),N226)</f>
        <v>EC7</v>
      </c>
      <c r="P226" s="11" t="s">
        <v>1393</v>
      </c>
    </row>
    <row r="227" customFormat="false" ht="23.85" hidden="false" customHeight="false" outlineLevel="0" collapsed="false">
      <c r="A227" s="8" t="s">
        <v>1394</v>
      </c>
      <c r="B227" s="8" t="s">
        <v>37</v>
      </c>
      <c r="C227" s="9" t="s">
        <v>1395</v>
      </c>
      <c r="D227" s="8" t="n">
        <v>2025</v>
      </c>
      <c r="E227" s="8" t="s">
        <v>143</v>
      </c>
      <c r="F227" s="8" t="s">
        <v>1396</v>
      </c>
      <c r="G227" s="8" t="s">
        <v>1397</v>
      </c>
      <c r="H227" s="13" t="s">
        <v>1398</v>
      </c>
      <c r="I227" s="8" t="s">
        <v>139</v>
      </c>
      <c r="J227" s="8" t="s">
        <v>87</v>
      </c>
      <c r="K227" s="8"/>
      <c r="L227" s="8"/>
      <c r="M227" s="8"/>
      <c r="N227" s="10"/>
      <c r="O227" s="11" t="str">
        <f aca="false">IF(N227="",IF(I227="Include","Include",J227),N227)</f>
        <v>EC7</v>
      </c>
      <c r="P227" s="11" t="s">
        <v>1399</v>
      </c>
    </row>
    <row r="228" customFormat="false" ht="23.85" hidden="false" customHeight="false" outlineLevel="0" collapsed="false">
      <c r="A228" s="8" t="s">
        <v>1400</v>
      </c>
      <c r="B228" s="8" t="s">
        <v>37</v>
      </c>
      <c r="C228" s="9" t="s">
        <v>1401</v>
      </c>
      <c r="D228" s="8" t="n">
        <v>2020</v>
      </c>
      <c r="E228" s="8" t="s">
        <v>143</v>
      </c>
      <c r="F228" s="8" t="s">
        <v>1402</v>
      </c>
      <c r="G228" s="8" t="s">
        <v>1403</v>
      </c>
      <c r="H228" s="13" t="s">
        <v>1404</v>
      </c>
      <c r="I228" s="8" t="s">
        <v>139</v>
      </c>
      <c r="J228" s="8" t="s">
        <v>85</v>
      </c>
      <c r="K228" s="8"/>
      <c r="L228" s="8"/>
      <c r="M228" s="8"/>
      <c r="N228" s="10"/>
      <c r="O228" s="11" t="str">
        <f aca="false">IF(N228="",IF(I228="Include","Include",J228),N228)</f>
        <v>EC6</v>
      </c>
      <c r="P228" s="11" t="s">
        <v>1405</v>
      </c>
    </row>
    <row r="229" customFormat="false" ht="23.85" hidden="false" customHeight="false" outlineLevel="0" collapsed="false">
      <c r="A229" s="8" t="s">
        <v>1406</v>
      </c>
      <c r="B229" s="8" t="s">
        <v>37</v>
      </c>
      <c r="C229" s="9" t="s">
        <v>1407</v>
      </c>
      <c r="D229" s="8" t="n">
        <v>2024</v>
      </c>
      <c r="E229" s="8" t="s">
        <v>171</v>
      </c>
      <c r="F229" s="8" t="s">
        <v>1408</v>
      </c>
      <c r="G229" s="8" t="s">
        <v>746</v>
      </c>
      <c r="H229" s="13" t="s">
        <v>1409</v>
      </c>
      <c r="I229" s="8" t="s">
        <v>139</v>
      </c>
      <c r="J229" s="8" t="s">
        <v>85</v>
      </c>
      <c r="K229" s="8"/>
      <c r="L229" s="8"/>
      <c r="M229" s="8"/>
      <c r="N229" s="10"/>
      <c r="O229" s="11" t="str">
        <f aca="false">IF(N229="",IF(I229="Include","Include",J229),N229)</f>
        <v>EC6</v>
      </c>
      <c r="P229" s="11" t="s">
        <v>1410</v>
      </c>
    </row>
    <row r="230" customFormat="false" ht="23.85" hidden="false" customHeight="false" outlineLevel="0" collapsed="false">
      <c r="A230" s="11" t="s">
        <v>1411</v>
      </c>
      <c r="B230" s="11" t="s">
        <v>37</v>
      </c>
      <c r="C230" s="2" t="s">
        <v>1412</v>
      </c>
      <c r="D230" s="11" t="n">
        <v>2021</v>
      </c>
      <c r="E230" s="11" t="s">
        <v>143</v>
      </c>
      <c r="F230" s="11" t="s">
        <v>1413</v>
      </c>
      <c r="G230" s="11" t="s">
        <v>1414</v>
      </c>
      <c r="H230" s="12" t="s">
        <v>1415</v>
      </c>
      <c r="I230" s="11" t="s">
        <v>147</v>
      </c>
      <c r="J230" s="11"/>
      <c r="K230" s="11" t="s">
        <v>112</v>
      </c>
      <c r="L230" s="11" t="s">
        <v>110</v>
      </c>
      <c r="M230" s="11" t="s">
        <v>161</v>
      </c>
      <c r="N230" s="10"/>
      <c r="O230" s="11" t="str">
        <f aca="false">IF(N230="",IF(I230="Include","Include",J230),N230)</f>
        <v>Include</v>
      </c>
      <c r="P230" s="11" t="s">
        <v>1416</v>
      </c>
    </row>
    <row r="231" customFormat="false" ht="23.85" hidden="false" customHeight="false" outlineLevel="0" collapsed="false">
      <c r="A231" s="8" t="s">
        <v>1417</v>
      </c>
      <c r="B231" s="8" t="s">
        <v>37</v>
      </c>
      <c r="C231" s="9" t="s">
        <v>1418</v>
      </c>
      <c r="D231" s="8" t="n">
        <v>2025</v>
      </c>
      <c r="E231" s="8" t="s">
        <v>171</v>
      </c>
      <c r="F231" s="8" t="s">
        <v>1419</v>
      </c>
      <c r="G231" s="8" t="s">
        <v>387</v>
      </c>
      <c r="H231" s="13" t="s">
        <v>1420</v>
      </c>
      <c r="I231" s="8" t="s">
        <v>139</v>
      </c>
      <c r="J231" s="8" t="s">
        <v>87</v>
      </c>
      <c r="K231" s="8"/>
      <c r="L231" s="8"/>
      <c r="M231" s="8"/>
      <c r="N231" s="10"/>
      <c r="O231" s="11" t="str">
        <f aca="false">IF(N231="",IF(I231="Include","Include",J231),N231)</f>
        <v>EC7</v>
      </c>
      <c r="P231" s="11" t="s">
        <v>1421</v>
      </c>
    </row>
    <row r="232" customFormat="false" ht="23.85" hidden="false" customHeight="false" outlineLevel="0" collapsed="false">
      <c r="A232" s="8" t="s">
        <v>1422</v>
      </c>
      <c r="B232" s="8" t="s">
        <v>37</v>
      </c>
      <c r="C232" s="9" t="s">
        <v>1423</v>
      </c>
      <c r="D232" s="8" t="n">
        <v>2026</v>
      </c>
      <c r="E232" s="8" t="s">
        <v>171</v>
      </c>
      <c r="F232" s="8" t="s">
        <v>1424</v>
      </c>
      <c r="G232" s="8" t="s">
        <v>471</v>
      </c>
      <c r="H232" s="13" t="s">
        <v>1425</v>
      </c>
      <c r="I232" s="8" t="s">
        <v>139</v>
      </c>
      <c r="J232" s="8" t="s">
        <v>85</v>
      </c>
      <c r="K232" s="8"/>
      <c r="L232" s="8"/>
      <c r="M232" s="8"/>
      <c r="N232" s="10"/>
      <c r="O232" s="11" t="str">
        <f aca="false">IF(N232="",IF(I232="Include","Include",J232),N232)</f>
        <v>EC6</v>
      </c>
      <c r="P232" s="11" t="s">
        <v>1426</v>
      </c>
    </row>
    <row r="233" customFormat="false" ht="23.85" hidden="false" customHeight="false" outlineLevel="0" collapsed="false">
      <c r="A233" s="8" t="s">
        <v>1427</v>
      </c>
      <c r="B233" s="8" t="s">
        <v>37</v>
      </c>
      <c r="C233" s="9" t="s">
        <v>1428</v>
      </c>
      <c r="D233" s="8" t="n">
        <v>2026</v>
      </c>
      <c r="E233" s="8" t="s">
        <v>171</v>
      </c>
      <c r="F233" s="8" t="s">
        <v>1429</v>
      </c>
      <c r="G233" s="8" t="s">
        <v>1430</v>
      </c>
      <c r="H233" s="13" t="s">
        <v>1431</v>
      </c>
      <c r="I233" s="8" t="s">
        <v>139</v>
      </c>
      <c r="J233" s="8" t="s">
        <v>85</v>
      </c>
      <c r="K233" s="8"/>
      <c r="L233" s="8"/>
      <c r="M233" s="8"/>
      <c r="N233" s="10"/>
      <c r="O233" s="11" t="str">
        <f aca="false">IF(N233="",IF(I233="Include","Include",J233),N233)</f>
        <v>EC6</v>
      </c>
      <c r="P233" s="11" t="s">
        <v>1432</v>
      </c>
    </row>
    <row r="234" customFormat="false" ht="23.85" hidden="false" customHeight="false" outlineLevel="0" collapsed="false">
      <c r="A234" s="8" t="s">
        <v>1433</v>
      </c>
      <c r="B234" s="8" t="s">
        <v>37</v>
      </c>
      <c r="C234" s="9" t="s">
        <v>1434</v>
      </c>
      <c r="D234" s="8" t="n">
        <v>2026</v>
      </c>
      <c r="E234" s="8" t="s">
        <v>171</v>
      </c>
      <c r="F234" s="8"/>
      <c r="G234" s="8" t="s">
        <v>882</v>
      </c>
      <c r="H234" s="8"/>
      <c r="I234" s="8" t="s">
        <v>139</v>
      </c>
      <c r="J234" s="8" t="s">
        <v>81</v>
      </c>
      <c r="K234" s="8"/>
      <c r="L234" s="8"/>
      <c r="M234" s="8"/>
      <c r="N234" s="10"/>
      <c r="O234" s="11" t="str">
        <f aca="false">IF(N234="",IF(I234="Include","Include",J234),N234)</f>
        <v>EC4</v>
      </c>
      <c r="P234" s="11" t="s">
        <v>1435</v>
      </c>
    </row>
    <row r="235" customFormat="false" ht="23.85" hidden="false" customHeight="false" outlineLevel="0" collapsed="false">
      <c r="A235" s="11" t="s">
        <v>1436</v>
      </c>
      <c r="B235" s="11" t="s">
        <v>37</v>
      </c>
      <c r="C235" s="2" t="s">
        <v>1437</v>
      </c>
      <c r="D235" s="11" t="n">
        <v>2022</v>
      </c>
      <c r="E235" s="11" t="s">
        <v>171</v>
      </c>
      <c r="F235" s="11" t="s">
        <v>1438</v>
      </c>
      <c r="G235" s="11" t="s">
        <v>1439</v>
      </c>
      <c r="H235" s="12" t="s">
        <v>1440</v>
      </c>
      <c r="I235" s="11" t="s">
        <v>147</v>
      </c>
      <c r="J235" s="11"/>
      <c r="K235" s="11" t="s">
        <v>112</v>
      </c>
      <c r="L235" s="11" t="s">
        <v>110</v>
      </c>
      <c r="M235" s="11" t="s">
        <v>161</v>
      </c>
      <c r="N235" s="10"/>
      <c r="O235" s="11" t="str">
        <f aca="false">IF(N235="",IF(I235="Include","Include",J235),N235)</f>
        <v>Include</v>
      </c>
      <c r="P235" s="11" t="s">
        <v>1441</v>
      </c>
    </row>
    <row r="236" customFormat="false" ht="23.85" hidden="false" customHeight="false" outlineLevel="0" collapsed="false">
      <c r="A236" s="8" t="s">
        <v>1442</v>
      </c>
      <c r="B236" s="8" t="s">
        <v>37</v>
      </c>
      <c r="C236" s="9" t="s">
        <v>1443</v>
      </c>
      <c r="D236" s="8" t="n">
        <v>2026</v>
      </c>
      <c r="E236" s="8" t="s">
        <v>143</v>
      </c>
      <c r="F236" s="8" t="s">
        <v>1444</v>
      </c>
      <c r="G236" s="8" t="s">
        <v>1445</v>
      </c>
      <c r="H236" s="13" t="s">
        <v>1446</v>
      </c>
      <c r="I236" s="8" t="s">
        <v>139</v>
      </c>
      <c r="J236" s="8" t="s">
        <v>87</v>
      </c>
      <c r="K236" s="8"/>
      <c r="L236" s="8"/>
      <c r="M236" s="8"/>
      <c r="N236" s="10"/>
      <c r="O236" s="11" t="str">
        <f aca="false">IF(N236="",IF(I236="Include","Include",J236),N236)</f>
        <v>EC7</v>
      </c>
      <c r="P236" s="11" t="s">
        <v>1447</v>
      </c>
    </row>
    <row r="237" customFormat="false" ht="15" hidden="false" customHeight="false" outlineLevel="0" collapsed="false">
      <c r="A237" s="8" t="s">
        <v>1448</v>
      </c>
      <c r="B237" s="8" t="s">
        <v>37</v>
      </c>
      <c r="C237" s="9" t="s">
        <v>1449</v>
      </c>
      <c r="D237" s="8" t="n">
        <v>2022</v>
      </c>
      <c r="E237" s="8" t="s">
        <v>143</v>
      </c>
      <c r="F237" s="8" t="s">
        <v>1450</v>
      </c>
      <c r="G237" s="8" t="s">
        <v>481</v>
      </c>
      <c r="H237" s="13" t="s">
        <v>1451</v>
      </c>
      <c r="I237" s="8" t="s">
        <v>139</v>
      </c>
      <c r="J237" s="8" t="s">
        <v>85</v>
      </c>
      <c r="K237" s="8"/>
      <c r="L237" s="8"/>
      <c r="M237" s="8"/>
      <c r="N237" s="10"/>
      <c r="O237" s="11" t="str">
        <f aca="false">IF(N237="",IF(I237="Include","Include",J237),N237)</f>
        <v>EC6</v>
      </c>
      <c r="P237" s="11" t="s">
        <v>1452</v>
      </c>
    </row>
    <row r="238" customFormat="false" ht="23.85" hidden="false" customHeight="false" outlineLevel="0" collapsed="false">
      <c r="A238" s="8" t="s">
        <v>1453</v>
      </c>
      <c r="B238" s="8" t="s">
        <v>37</v>
      </c>
      <c r="C238" s="9" t="s">
        <v>1454</v>
      </c>
      <c r="D238" s="8" t="n">
        <v>2020</v>
      </c>
      <c r="E238" s="8" t="s">
        <v>143</v>
      </c>
      <c r="F238" s="8" t="s">
        <v>1455</v>
      </c>
      <c r="G238" s="8" t="s">
        <v>1456</v>
      </c>
      <c r="H238" s="13" t="s">
        <v>1457</v>
      </c>
      <c r="I238" s="8" t="s">
        <v>139</v>
      </c>
      <c r="J238" s="8" t="s">
        <v>85</v>
      </c>
      <c r="K238" s="8"/>
      <c r="L238" s="8"/>
      <c r="M238" s="8"/>
      <c r="N238" s="10"/>
      <c r="O238" s="11" t="str">
        <f aca="false">IF(N238="",IF(I238="Include","Include",J238),N238)</f>
        <v>EC6</v>
      </c>
      <c r="P238" s="11" t="s">
        <v>1458</v>
      </c>
    </row>
    <row r="239" customFormat="false" ht="23.85" hidden="false" customHeight="false" outlineLevel="0" collapsed="false">
      <c r="A239" s="8" t="s">
        <v>1459</v>
      </c>
      <c r="B239" s="8" t="s">
        <v>37</v>
      </c>
      <c r="C239" s="9" t="s">
        <v>1460</v>
      </c>
      <c r="D239" s="8" t="n">
        <v>2021</v>
      </c>
      <c r="E239" s="8" t="s">
        <v>171</v>
      </c>
      <c r="F239" s="8" t="s">
        <v>1461</v>
      </c>
      <c r="G239" s="8" t="s">
        <v>1462</v>
      </c>
      <c r="H239" s="13" t="s">
        <v>1463</v>
      </c>
      <c r="I239" s="8" t="s">
        <v>139</v>
      </c>
      <c r="J239" s="8" t="s">
        <v>85</v>
      </c>
      <c r="K239" s="8"/>
      <c r="L239" s="8"/>
      <c r="M239" s="8"/>
      <c r="N239" s="10"/>
      <c r="O239" s="11" t="str">
        <f aca="false">IF(N239="",IF(I239="Include","Include",J239),N239)</f>
        <v>EC6</v>
      </c>
      <c r="P239" s="11" t="s">
        <v>1464</v>
      </c>
    </row>
    <row r="240" customFormat="false" ht="23.85" hidden="false" customHeight="false" outlineLevel="0" collapsed="false">
      <c r="A240" s="11" t="s">
        <v>1465</v>
      </c>
      <c r="B240" s="11" t="s">
        <v>37</v>
      </c>
      <c r="C240" s="2" t="s">
        <v>1466</v>
      </c>
      <c r="D240" s="11" t="n">
        <v>2023</v>
      </c>
      <c r="E240" s="11" t="s">
        <v>143</v>
      </c>
      <c r="F240" s="11" t="s">
        <v>751</v>
      </c>
      <c r="G240" s="11" t="s">
        <v>1467</v>
      </c>
      <c r="H240" s="12" t="s">
        <v>1468</v>
      </c>
      <c r="I240" s="11" t="s">
        <v>147</v>
      </c>
      <c r="J240" s="11"/>
      <c r="K240" s="11" t="s">
        <v>96</v>
      </c>
      <c r="L240" s="11" t="s">
        <v>97</v>
      </c>
      <c r="M240" s="11" t="s">
        <v>148</v>
      </c>
      <c r="N240" s="10"/>
      <c r="O240" s="11" t="str">
        <f aca="false">IF(N240="",IF(I240="Include","Include",J240),N240)</f>
        <v>Include</v>
      </c>
      <c r="P240" s="11" t="s">
        <v>1469</v>
      </c>
    </row>
    <row r="241" customFormat="false" ht="23.85" hidden="false" customHeight="false" outlineLevel="0" collapsed="false">
      <c r="A241" s="11" t="s">
        <v>1470</v>
      </c>
      <c r="B241" s="11" t="s">
        <v>37</v>
      </c>
      <c r="C241" s="2" t="s">
        <v>1471</v>
      </c>
      <c r="D241" s="11" t="n">
        <v>2024</v>
      </c>
      <c r="E241" s="11" t="s">
        <v>171</v>
      </c>
      <c r="F241" s="11" t="s">
        <v>1472</v>
      </c>
      <c r="G241" s="11" t="s">
        <v>471</v>
      </c>
      <c r="H241" s="12" t="s">
        <v>1473</v>
      </c>
      <c r="I241" s="11" t="s">
        <v>147</v>
      </c>
      <c r="J241" s="11"/>
      <c r="K241" s="11" t="s">
        <v>96</v>
      </c>
      <c r="L241" s="11" t="s">
        <v>97</v>
      </c>
      <c r="M241" s="11" t="s">
        <v>210</v>
      </c>
      <c r="N241" s="10"/>
      <c r="O241" s="11" t="str">
        <f aca="false">IF(N241="",IF(I241="Include","Include",J241),N241)</f>
        <v>Include</v>
      </c>
      <c r="P241" s="11" t="s">
        <v>1474</v>
      </c>
    </row>
    <row r="242" customFormat="false" ht="23.85" hidden="false" customHeight="false" outlineLevel="0" collapsed="false">
      <c r="A242" s="8" t="s">
        <v>1475</v>
      </c>
      <c r="B242" s="8" t="s">
        <v>37</v>
      </c>
      <c r="C242" s="9" t="s">
        <v>1476</v>
      </c>
      <c r="D242" s="8" t="n">
        <v>2022</v>
      </c>
      <c r="E242" s="8" t="s">
        <v>143</v>
      </c>
      <c r="F242" s="8" t="s">
        <v>1477</v>
      </c>
      <c r="G242" s="8" t="s">
        <v>1478</v>
      </c>
      <c r="H242" s="13" t="s">
        <v>1479</v>
      </c>
      <c r="I242" s="8" t="s">
        <v>139</v>
      </c>
      <c r="J242" s="8" t="s">
        <v>85</v>
      </c>
      <c r="K242" s="8"/>
      <c r="L242" s="8"/>
      <c r="M242" s="8"/>
      <c r="N242" s="10"/>
      <c r="O242" s="11" t="str">
        <f aca="false">IF(N242="",IF(I242="Include","Include",J242),N242)</f>
        <v>EC6</v>
      </c>
      <c r="P242" s="11" t="s">
        <v>1480</v>
      </c>
    </row>
    <row r="243" customFormat="false" ht="23.85" hidden="false" customHeight="false" outlineLevel="0" collapsed="false">
      <c r="A243" s="11" t="s">
        <v>1481</v>
      </c>
      <c r="B243" s="11" t="s">
        <v>37</v>
      </c>
      <c r="C243" s="2" t="s">
        <v>1482</v>
      </c>
      <c r="D243" s="11" t="n">
        <v>2025</v>
      </c>
      <c r="E243" s="11" t="s">
        <v>143</v>
      </c>
      <c r="F243" s="11" t="s">
        <v>1483</v>
      </c>
      <c r="G243" s="11" t="s">
        <v>1484</v>
      </c>
      <c r="H243" s="12" t="s">
        <v>1485</v>
      </c>
      <c r="I243" s="11" t="s">
        <v>147</v>
      </c>
      <c r="J243" s="11"/>
      <c r="K243" s="11" t="s">
        <v>112</v>
      </c>
      <c r="L243" s="11" t="s">
        <v>110</v>
      </c>
      <c r="M243" s="11" t="s">
        <v>148</v>
      </c>
      <c r="N243" s="10"/>
      <c r="O243" s="11" t="str">
        <f aca="false">IF(N243="",IF(I243="Include","Include",J243),N243)</f>
        <v>Include</v>
      </c>
      <c r="P243" s="11" t="s">
        <v>1486</v>
      </c>
    </row>
    <row r="244" customFormat="false" ht="23.85" hidden="false" customHeight="false" outlineLevel="0" collapsed="false">
      <c r="A244" s="8" t="s">
        <v>1487</v>
      </c>
      <c r="B244" s="8" t="s">
        <v>37</v>
      </c>
      <c r="C244" s="9" t="s">
        <v>1488</v>
      </c>
      <c r="D244" s="8" t="n">
        <v>2026</v>
      </c>
      <c r="E244" s="8" t="s">
        <v>171</v>
      </c>
      <c r="F244" s="8"/>
      <c r="G244" s="8" t="s">
        <v>481</v>
      </c>
      <c r="H244" s="8"/>
      <c r="I244" s="8" t="s">
        <v>139</v>
      </c>
      <c r="J244" s="8" t="s">
        <v>81</v>
      </c>
      <c r="K244" s="8"/>
      <c r="L244" s="8"/>
      <c r="M244" s="8"/>
      <c r="N244" s="10"/>
      <c r="O244" s="11" t="str">
        <f aca="false">IF(N244="",IF(I244="Include","Include",J244),N244)</f>
        <v>EC4</v>
      </c>
      <c r="P244" s="11" t="s">
        <v>1489</v>
      </c>
    </row>
    <row r="245" customFormat="false" ht="23.85" hidden="false" customHeight="false" outlineLevel="0" collapsed="false">
      <c r="A245" s="11" t="s">
        <v>1490</v>
      </c>
      <c r="B245" s="11" t="s">
        <v>37</v>
      </c>
      <c r="C245" s="2" t="s">
        <v>1491</v>
      </c>
      <c r="D245" s="11" t="n">
        <v>2025</v>
      </c>
      <c r="E245" s="11" t="s">
        <v>171</v>
      </c>
      <c r="F245" s="11" t="s">
        <v>1492</v>
      </c>
      <c r="G245" s="11" t="s">
        <v>1493</v>
      </c>
      <c r="H245" s="11"/>
      <c r="I245" s="11" t="s">
        <v>147</v>
      </c>
      <c r="J245" s="11"/>
      <c r="K245" s="11" t="s">
        <v>96</v>
      </c>
      <c r="L245" s="11" t="s">
        <v>94</v>
      </c>
      <c r="M245" s="11" t="s">
        <v>161</v>
      </c>
      <c r="N245" s="10"/>
      <c r="O245" s="11" t="str">
        <f aca="false">IF(N245="",IF(I245="Include","Include",J245),N245)</f>
        <v>Include</v>
      </c>
      <c r="P245" s="11" t="s">
        <v>1494</v>
      </c>
    </row>
    <row r="246" customFormat="false" ht="23.85" hidden="false" customHeight="false" outlineLevel="0" collapsed="false">
      <c r="A246" s="11" t="s">
        <v>1495</v>
      </c>
      <c r="B246" s="11" t="s">
        <v>37</v>
      </c>
      <c r="C246" s="2" t="s">
        <v>1496</v>
      </c>
      <c r="D246" s="11" t="n">
        <v>2026</v>
      </c>
      <c r="E246" s="11" t="s">
        <v>171</v>
      </c>
      <c r="F246" s="11" t="s">
        <v>1497</v>
      </c>
      <c r="G246" s="11" t="s">
        <v>459</v>
      </c>
      <c r="H246" s="12" t="s">
        <v>1498</v>
      </c>
      <c r="I246" s="11" t="s">
        <v>147</v>
      </c>
      <c r="J246" s="11"/>
      <c r="K246" s="11" t="s">
        <v>109</v>
      </c>
      <c r="L246" s="11" t="s">
        <v>107</v>
      </c>
      <c r="M246" s="11" t="s">
        <v>210</v>
      </c>
      <c r="N246" s="10"/>
      <c r="O246" s="11" t="str">
        <f aca="false">IF(N246="",IF(I246="Include","Include",J246),N246)</f>
        <v>Include</v>
      </c>
      <c r="P246" s="11" t="s">
        <v>1499</v>
      </c>
    </row>
    <row r="247" customFormat="false" ht="35.05" hidden="false" customHeight="false" outlineLevel="0" collapsed="false">
      <c r="A247" s="8" t="s">
        <v>1500</v>
      </c>
      <c r="B247" s="8" t="s">
        <v>37</v>
      </c>
      <c r="C247" s="9" t="s">
        <v>1501</v>
      </c>
      <c r="D247" s="8" t="n">
        <v>2018</v>
      </c>
      <c r="E247" s="8" t="s">
        <v>138</v>
      </c>
      <c r="F247" s="8"/>
      <c r="G247" s="8" t="s">
        <v>1501</v>
      </c>
      <c r="H247" s="8"/>
      <c r="I247" s="8" t="s">
        <v>139</v>
      </c>
      <c r="J247" s="8" t="s">
        <v>81</v>
      </c>
      <c r="K247" s="8"/>
      <c r="L247" s="8"/>
      <c r="M247" s="8"/>
      <c r="N247" s="10"/>
      <c r="O247" s="11" t="str">
        <f aca="false">IF(N247="",IF(I247="Include","Include",J247),N247)</f>
        <v>EC4</v>
      </c>
      <c r="P247" s="11" t="s">
        <v>1502</v>
      </c>
    </row>
    <row r="248" customFormat="false" ht="23.85" hidden="false" customHeight="false" outlineLevel="0" collapsed="false">
      <c r="A248" s="8" t="s">
        <v>1503</v>
      </c>
      <c r="B248" s="8" t="s">
        <v>37</v>
      </c>
      <c r="C248" s="9" t="s">
        <v>1504</v>
      </c>
      <c r="D248" s="8" t="n">
        <v>2025</v>
      </c>
      <c r="E248" s="8" t="s">
        <v>138</v>
      </c>
      <c r="F248" s="8"/>
      <c r="G248" s="8" t="s">
        <v>1504</v>
      </c>
      <c r="H248" s="8"/>
      <c r="I248" s="8" t="s">
        <v>139</v>
      </c>
      <c r="J248" s="8" t="s">
        <v>81</v>
      </c>
      <c r="K248" s="8"/>
      <c r="L248" s="8"/>
      <c r="M248" s="8"/>
      <c r="N248" s="10"/>
      <c r="O248" s="11" t="str">
        <f aca="false">IF(N248="",IF(I248="Include","Include",J248),N248)</f>
        <v>EC4</v>
      </c>
      <c r="P248" s="11" t="s">
        <v>1505</v>
      </c>
    </row>
    <row r="249" customFormat="false" ht="15" hidden="false" customHeight="false" outlineLevel="0" collapsed="false">
      <c r="A249" s="8" t="s">
        <v>1506</v>
      </c>
      <c r="B249" s="8" t="s">
        <v>37</v>
      </c>
      <c r="C249" s="9" t="s">
        <v>1507</v>
      </c>
      <c r="D249" s="8" t="n">
        <v>2026</v>
      </c>
      <c r="E249" s="8" t="s">
        <v>143</v>
      </c>
      <c r="F249" s="8" t="s">
        <v>1508</v>
      </c>
      <c r="G249" s="8" t="s">
        <v>1509</v>
      </c>
      <c r="H249" s="13" t="s">
        <v>1510</v>
      </c>
      <c r="I249" s="8" t="s">
        <v>139</v>
      </c>
      <c r="J249" s="8" t="s">
        <v>85</v>
      </c>
      <c r="K249" s="8"/>
      <c r="L249" s="8"/>
      <c r="M249" s="8"/>
      <c r="N249" s="10"/>
      <c r="O249" s="11" t="str">
        <f aca="false">IF(N249="",IF(I249="Include","Include",J249),N249)</f>
        <v>EC6</v>
      </c>
      <c r="P249" s="11" t="s">
        <v>1511</v>
      </c>
    </row>
    <row r="250" customFormat="false" ht="23.85" hidden="false" customHeight="false" outlineLevel="0" collapsed="false">
      <c r="A250" s="11" t="s">
        <v>1512</v>
      </c>
      <c r="B250" s="11" t="s">
        <v>37</v>
      </c>
      <c r="C250" s="2" t="s">
        <v>1513</v>
      </c>
      <c r="D250" s="11" t="n">
        <v>2026</v>
      </c>
      <c r="E250" s="11" t="s">
        <v>171</v>
      </c>
      <c r="F250" s="11" t="s">
        <v>1514</v>
      </c>
      <c r="G250" s="11" t="s">
        <v>459</v>
      </c>
      <c r="H250" s="12" t="s">
        <v>1515</v>
      </c>
      <c r="I250" s="11" t="s">
        <v>147</v>
      </c>
      <c r="J250" s="11"/>
      <c r="K250" s="11" t="s">
        <v>96</v>
      </c>
      <c r="L250" s="11" t="s">
        <v>94</v>
      </c>
      <c r="M250" s="11" t="s">
        <v>161</v>
      </c>
      <c r="N250" s="10"/>
      <c r="O250" s="11" t="str">
        <f aca="false">IF(N250="",IF(I250="Include","Include",J250),N250)</f>
        <v>Include</v>
      </c>
      <c r="P250" s="11" t="s">
        <v>1516</v>
      </c>
    </row>
    <row r="251" customFormat="false" ht="23.85" hidden="false" customHeight="false" outlineLevel="0" collapsed="false">
      <c r="A251" s="8" t="s">
        <v>1517</v>
      </c>
      <c r="B251" s="8" t="s">
        <v>37</v>
      </c>
      <c r="C251" s="9" t="s">
        <v>1518</v>
      </c>
      <c r="D251" s="8" t="n">
        <v>2026</v>
      </c>
      <c r="E251" s="8" t="s">
        <v>171</v>
      </c>
      <c r="F251" s="8" t="s">
        <v>1519</v>
      </c>
      <c r="G251" s="8" t="s">
        <v>1520</v>
      </c>
      <c r="H251" s="13" t="s">
        <v>1521</v>
      </c>
      <c r="I251" s="8" t="s">
        <v>139</v>
      </c>
      <c r="J251" s="8" t="s">
        <v>85</v>
      </c>
      <c r="K251" s="8"/>
      <c r="L251" s="8"/>
      <c r="M251" s="8"/>
      <c r="N251" s="10"/>
      <c r="O251" s="11" t="str">
        <f aca="false">IF(N251="",IF(I251="Include","Include",J251),N251)</f>
        <v>EC6</v>
      </c>
      <c r="P251" s="11" t="s">
        <v>1522</v>
      </c>
    </row>
    <row r="252" customFormat="false" ht="23.85" hidden="false" customHeight="false" outlineLevel="0" collapsed="false">
      <c r="A252" s="11" t="s">
        <v>1523</v>
      </c>
      <c r="B252" s="11" t="s">
        <v>37</v>
      </c>
      <c r="C252" s="2" t="s">
        <v>1524</v>
      </c>
      <c r="D252" s="11" t="n">
        <v>2021</v>
      </c>
      <c r="E252" s="11" t="s">
        <v>171</v>
      </c>
      <c r="F252" s="11" t="s">
        <v>1525</v>
      </c>
      <c r="G252" s="11" t="s">
        <v>1526</v>
      </c>
      <c r="H252" s="12" t="s">
        <v>1527</v>
      </c>
      <c r="I252" s="11" t="s">
        <v>147</v>
      </c>
      <c r="J252" s="11"/>
      <c r="K252" s="11" t="s">
        <v>96</v>
      </c>
      <c r="L252" s="11" t="s">
        <v>99</v>
      </c>
      <c r="M252" s="11" t="s">
        <v>161</v>
      </c>
      <c r="N252" s="10"/>
      <c r="O252" s="11" t="str">
        <f aca="false">IF(N252="",IF(I252="Include","Include",J252),N252)</f>
        <v>Include</v>
      </c>
      <c r="P252" s="11" t="s">
        <v>1528</v>
      </c>
    </row>
    <row r="253" customFormat="false" ht="23.85" hidden="false" customHeight="false" outlineLevel="0" collapsed="false">
      <c r="A253" s="8" t="s">
        <v>1529</v>
      </c>
      <c r="B253" s="8" t="s">
        <v>37</v>
      </c>
      <c r="C253" s="9" t="s">
        <v>1530</v>
      </c>
      <c r="D253" s="8" t="n">
        <v>2023</v>
      </c>
      <c r="E253" s="8" t="s">
        <v>138</v>
      </c>
      <c r="F253" s="8"/>
      <c r="G253" s="8" t="s">
        <v>1530</v>
      </c>
      <c r="H253" s="8"/>
      <c r="I253" s="8" t="s">
        <v>139</v>
      </c>
      <c r="J253" s="8" t="s">
        <v>81</v>
      </c>
      <c r="K253" s="8"/>
      <c r="L253" s="8"/>
      <c r="M253" s="8"/>
      <c r="N253" s="10"/>
      <c r="O253" s="11" t="str">
        <f aca="false">IF(N253="",IF(I253="Include","Include",J253),N253)</f>
        <v>EC4</v>
      </c>
      <c r="P253" s="11" t="s">
        <v>1531</v>
      </c>
    </row>
    <row r="254" customFormat="false" ht="35.05" hidden="false" customHeight="false" outlineLevel="0" collapsed="false">
      <c r="A254" s="11" t="s">
        <v>1532</v>
      </c>
      <c r="B254" s="11" t="s">
        <v>37</v>
      </c>
      <c r="C254" s="2" t="s">
        <v>1533</v>
      </c>
      <c r="D254" s="11" t="n">
        <v>2026</v>
      </c>
      <c r="E254" s="11" t="s">
        <v>171</v>
      </c>
      <c r="F254" s="11" t="s">
        <v>1534</v>
      </c>
      <c r="G254" s="11" t="s">
        <v>459</v>
      </c>
      <c r="H254" s="12" t="s">
        <v>1535</v>
      </c>
      <c r="I254" s="11" t="s">
        <v>147</v>
      </c>
      <c r="J254" s="11"/>
      <c r="K254" s="11" t="s">
        <v>115</v>
      </c>
      <c r="L254" s="11" t="s">
        <v>113</v>
      </c>
      <c r="M254" s="11" t="s">
        <v>210</v>
      </c>
      <c r="N254" s="10"/>
      <c r="O254" s="11" t="str">
        <f aca="false">IF(N254="",IF(I254="Include","Include",J254),N254)</f>
        <v>Include</v>
      </c>
      <c r="P254" s="11" t="s">
        <v>1536</v>
      </c>
    </row>
    <row r="255" customFormat="false" ht="23.85" hidden="false" customHeight="false" outlineLevel="0" collapsed="false">
      <c r="A255" s="8" t="s">
        <v>1537</v>
      </c>
      <c r="B255" s="8" t="s">
        <v>37</v>
      </c>
      <c r="C255" s="9" t="s">
        <v>1538</v>
      </c>
      <c r="D255" s="8" t="n">
        <v>2026</v>
      </c>
      <c r="E255" s="8" t="s">
        <v>171</v>
      </c>
      <c r="F255" s="8" t="s">
        <v>1539</v>
      </c>
      <c r="G255" s="8" t="s">
        <v>1540</v>
      </c>
      <c r="H255" s="13" t="s">
        <v>1541</v>
      </c>
      <c r="I255" s="8" t="s">
        <v>139</v>
      </c>
      <c r="J255" s="8" t="s">
        <v>85</v>
      </c>
      <c r="K255" s="8"/>
      <c r="L255" s="8"/>
      <c r="M255" s="8"/>
      <c r="N255" s="10"/>
      <c r="O255" s="11" t="str">
        <f aca="false">IF(N255="",IF(I255="Include","Include",J255),N255)</f>
        <v>EC6</v>
      </c>
      <c r="P255" s="11" t="s">
        <v>1542</v>
      </c>
    </row>
    <row r="256" customFormat="false" ht="15" hidden="false" customHeight="false" outlineLevel="0" collapsed="false">
      <c r="A256" s="8" t="s">
        <v>1543</v>
      </c>
      <c r="B256" s="8" t="s">
        <v>37</v>
      </c>
      <c r="C256" s="9" t="s">
        <v>1544</v>
      </c>
      <c r="D256" s="8" t="n">
        <v>2024</v>
      </c>
      <c r="E256" s="8" t="s">
        <v>577</v>
      </c>
      <c r="F256" s="8" t="s">
        <v>1545</v>
      </c>
      <c r="G256" s="8" t="s">
        <v>1546</v>
      </c>
      <c r="H256" s="13" t="s">
        <v>1547</v>
      </c>
      <c r="I256" s="8" t="s">
        <v>139</v>
      </c>
      <c r="J256" s="8" t="s">
        <v>85</v>
      </c>
      <c r="K256" s="8"/>
      <c r="L256" s="8"/>
      <c r="M256" s="8"/>
      <c r="N256" s="10"/>
      <c r="O256" s="11" t="str">
        <f aca="false">IF(N256="",IF(I256="Include","Include",J256),N256)</f>
        <v>EC6</v>
      </c>
      <c r="P256" s="11" t="s">
        <v>1548</v>
      </c>
    </row>
    <row r="257" customFormat="false" ht="23.85" hidden="false" customHeight="false" outlineLevel="0" collapsed="false">
      <c r="A257" s="8" t="s">
        <v>1549</v>
      </c>
      <c r="B257" s="8" t="s">
        <v>37</v>
      </c>
      <c r="C257" s="9" t="s">
        <v>1550</v>
      </c>
      <c r="D257" s="8" t="n">
        <v>2022</v>
      </c>
      <c r="E257" s="8" t="s">
        <v>171</v>
      </c>
      <c r="F257" s="8" t="s">
        <v>1551</v>
      </c>
      <c r="G257" s="8" t="s">
        <v>595</v>
      </c>
      <c r="H257" s="13" t="s">
        <v>1552</v>
      </c>
      <c r="I257" s="8" t="s">
        <v>139</v>
      </c>
      <c r="J257" s="8" t="s">
        <v>85</v>
      </c>
      <c r="K257" s="8"/>
      <c r="L257" s="8"/>
      <c r="M257" s="8"/>
      <c r="N257" s="10"/>
      <c r="O257" s="11" t="str">
        <f aca="false">IF(N257="",IF(I257="Include","Include",J257),N257)</f>
        <v>EC6</v>
      </c>
      <c r="P257" s="11" t="s">
        <v>1553</v>
      </c>
    </row>
    <row r="258" customFormat="false" ht="23.85" hidden="false" customHeight="false" outlineLevel="0" collapsed="false">
      <c r="A258" s="8" t="s">
        <v>1554</v>
      </c>
      <c r="B258" s="8" t="s">
        <v>37</v>
      </c>
      <c r="C258" s="9" t="s">
        <v>1555</v>
      </c>
      <c r="D258" s="8" t="n">
        <v>2025</v>
      </c>
      <c r="E258" s="8" t="s">
        <v>143</v>
      </c>
      <c r="F258" s="8" t="s">
        <v>1556</v>
      </c>
      <c r="G258" s="8" t="s">
        <v>1557</v>
      </c>
      <c r="H258" s="8"/>
      <c r="I258" s="8" t="s">
        <v>139</v>
      </c>
      <c r="J258" s="8" t="s">
        <v>85</v>
      </c>
      <c r="K258" s="8"/>
      <c r="L258" s="8"/>
      <c r="M258" s="8"/>
      <c r="N258" s="10"/>
      <c r="O258" s="11" t="str">
        <f aca="false">IF(N258="",IF(I258="Include","Include",J258),N258)</f>
        <v>EC6</v>
      </c>
      <c r="P258" s="11" t="s">
        <v>1558</v>
      </c>
    </row>
    <row r="259" customFormat="false" ht="35.05" hidden="false" customHeight="false" outlineLevel="0" collapsed="false">
      <c r="A259" s="8" t="s">
        <v>1559</v>
      </c>
      <c r="B259" s="8" t="s">
        <v>37</v>
      </c>
      <c r="C259" s="9" t="s">
        <v>1560</v>
      </c>
      <c r="D259" s="8" t="n">
        <v>2026</v>
      </c>
      <c r="E259" s="8" t="s">
        <v>171</v>
      </c>
      <c r="F259" s="8" t="s">
        <v>1561</v>
      </c>
      <c r="G259" s="8" t="s">
        <v>1562</v>
      </c>
      <c r="H259" s="13" t="s">
        <v>1563</v>
      </c>
      <c r="I259" s="8" t="s">
        <v>139</v>
      </c>
      <c r="J259" s="8" t="s">
        <v>85</v>
      </c>
      <c r="K259" s="8"/>
      <c r="L259" s="8"/>
      <c r="M259" s="8"/>
      <c r="N259" s="10"/>
      <c r="O259" s="11" t="str">
        <f aca="false">IF(N259="",IF(I259="Include","Include",J259),N259)</f>
        <v>EC6</v>
      </c>
      <c r="P259" s="11" t="s">
        <v>1564</v>
      </c>
    </row>
    <row r="260" customFormat="false" ht="23.85" hidden="false" customHeight="false" outlineLevel="0" collapsed="false">
      <c r="A260" s="8" t="s">
        <v>1565</v>
      </c>
      <c r="B260" s="8" t="s">
        <v>37</v>
      </c>
      <c r="C260" s="9" t="s">
        <v>1566</v>
      </c>
      <c r="D260" s="8" t="n">
        <v>2026</v>
      </c>
      <c r="E260" s="8" t="s">
        <v>143</v>
      </c>
      <c r="F260" s="8" t="s">
        <v>1567</v>
      </c>
      <c r="G260" s="8" t="s">
        <v>1237</v>
      </c>
      <c r="H260" s="13" t="s">
        <v>1568</v>
      </c>
      <c r="I260" s="8" t="s">
        <v>139</v>
      </c>
      <c r="J260" s="8" t="s">
        <v>85</v>
      </c>
      <c r="K260" s="8"/>
      <c r="L260" s="8"/>
      <c r="M260" s="8"/>
      <c r="N260" s="10"/>
      <c r="O260" s="11" t="str">
        <f aca="false">IF(N260="",IF(I260="Include","Include",J260),N260)</f>
        <v>EC6</v>
      </c>
      <c r="P260" s="11" t="s">
        <v>1569</v>
      </c>
    </row>
    <row r="261" customFormat="false" ht="23.85" hidden="false" customHeight="false" outlineLevel="0" collapsed="false">
      <c r="A261" s="8" t="s">
        <v>1570</v>
      </c>
      <c r="B261" s="8" t="s">
        <v>37</v>
      </c>
      <c r="C261" s="9" t="s">
        <v>1571</v>
      </c>
      <c r="D261" s="8" t="n">
        <v>2016</v>
      </c>
      <c r="E261" s="8" t="s">
        <v>171</v>
      </c>
      <c r="F261" s="8"/>
      <c r="G261" s="8" t="s">
        <v>260</v>
      </c>
      <c r="H261" s="8"/>
      <c r="I261" s="8" t="s">
        <v>139</v>
      </c>
      <c r="J261" s="8" t="s">
        <v>81</v>
      </c>
      <c r="K261" s="8"/>
      <c r="L261" s="8"/>
      <c r="M261" s="8"/>
      <c r="N261" s="10"/>
      <c r="O261" s="11" t="str">
        <f aca="false">IF(N261="",IF(I261="Include","Include",J261),N261)</f>
        <v>EC4</v>
      </c>
      <c r="P261" s="11" t="s">
        <v>1572</v>
      </c>
    </row>
    <row r="262" customFormat="false" ht="23.85" hidden="false" customHeight="false" outlineLevel="0" collapsed="false">
      <c r="A262" s="11" t="s">
        <v>1573</v>
      </c>
      <c r="B262" s="11" t="s">
        <v>37</v>
      </c>
      <c r="C262" s="2" t="s">
        <v>1574</v>
      </c>
      <c r="D262" s="11" t="n">
        <v>2025</v>
      </c>
      <c r="E262" s="11" t="s">
        <v>171</v>
      </c>
      <c r="F262" s="11" t="s">
        <v>1575</v>
      </c>
      <c r="G262" s="11" t="s">
        <v>387</v>
      </c>
      <c r="H262" s="12" t="s">
        <v>1576</v>
      </c>
      <c r="I262" s="11" t="s">
        <v>147</v>
      </c>
      <c r="J262" s="11"/>
      <c r="K262" s="11" t="s">
        <v>96</v>
      </c>
      <c r="L262" s="11" t="s">
        <v>94</v>
      </c>
      <c r="M262" s="11" t="s">
        <v>148</v>
      </c>
      <c r="N262" s="10"/>
      <c r="O262" s="11" t="str">
        <f aca="false">IF(N262="",IF(I262="Include","Include",J262),N262)</f>
        <v>Include</v>
      </c>
      <c r="P262" s="11" t="s">
        <v>1577</v>
      </c>
    </row>
    <row r="263" customFormat="false" ht="15" hidden="false" customHeight="false" outlineLevel="0" collapsed="false">
      <c r="A263" s="8" t="s">
        <v>1578</v>
      </c>
      <c r="B263" s="8" t="s">
        <v>37</v>
      </c>
      <c r="C263" s="9" t="s">
        <v>1579</v>
      </c>
      <c r="D263" s="8" t="n">
        <v>2020</v>
      </c>
      <c r="E263" s="8" t="s">
        <v>143</v>
      </c>
      <c r="F263" s="8" t="s">
        <v>1580</v>
      </c>
      <c r="G263" s="8" t="s">
        <v>1581</v>
      </c>
      <c r="H263" s="13" t="s">
        <v>1582</v>
      </c>
      <c r="I263" s="8" t="s">
        <v>139</v>
      </c>
      <c r="J263" s="8" t="s">
        <v>85</v>
      </c>
      <c r="K263" s="8"/>
      <c r="L263" s="8"/>
      <c r="M263" s="8"/>
      <c r="N263" s="10"/>
      <c r="O263" s="11" t="str">
        <f aca="false">IF(N263="",IF(I263="Include","Include",J263),N263)</f>
        <v>EC6</v>
      </c>
      <c r="P263" s="11" t="s">
        <v>1583</v>
      </c>
    </row>
    <row r="264" customFormat="false" ht="35.05" hidden="false" customHeight="false" outlineLevel="0" collapsed="false">
      <c r="A264" s="8" t="s">
        <v>1584</v>
      </c>
      <c r="B264" s="8" t="s">
        <v>37</v>
      </c>
      <c r="C264" s="9" t="s">
        <v>1585</v>
      </c>
      <c r="D264" s="8" t="n">
        <v>2025</v>
      </c>
      <c r="E264" s="8" t="s">
        <v>143</v>
      </c>
      <c r="F264" s="8" t="s">
        <v>1586</v>
      </c>
      <c r="G264" s="8" t="s">
        <v>1587</v>
      </c>
      <c r="H264" s="13" t="s">
        <v>1588</v>
      </c>
      <c r="I264" s="8" t="s">
        <v>139</v>
      </c>
      <c r="J264" s="8" t="s">
        <v>85</v>
      </c>
      <c r="K264" s="8"/>
      <c r="L264" s="8"/>
      <c r="M264" s="8"/>
      <c r="N264" s="10"/>
      <c r="O264" s="11" t="str">
        <f aca="false">IF(N264="",IF(I264="Include","Include",J264),N264)</f>
        <v>EC6</v>
      </c>
      <c r="P264" s="11" t="s">
        <v>1589</v>
      </c>
    </row>
    <row r="265" customFormat="false" ht="23.85" hidden="false" customHeight="false" outlineLevel="0" collapsed="false">
      <c r="A265" s="8" t="s">
        <v>1590</v>
      </c>
      <c r="B265" s="8" t="s">
        <v>37</v>
      </c>
      <c r="C265" s="9" t="s">
        <v>1591</v>
      </c>
      <c r="D265" s="8" t="n">
        <v>2026</v>
      </c>
      <c r="E265" s="8" t="s">
        <v>143</v>
      </c>
      <c r="F265" s="8" t="s">
        <v>1592</v>
      </c>
      <c r="G265" s="8" t="s">
        <v>935</v>
      </c>
      <c r="H265" s="8"/>
      <c r="I265" s="8" t="s">
        <v>139</v>
      </c>
      <c r="J265" s="8" t="s">
        <v>85</v>
      </c>
      <c r="K265" s="8"/>
      <c r="L265" s="8"/>
      <c r="M265" s="8"/>
      <c r="N265" s="10"/>
      <c r="O265" s="11" t="str">
        <f aca="false">IF(N265="",IF(I265="Include","Include",J265),N265)</f>
        <v>EC6</v>
      </c>
      <c r="P265" s="11" t="s">
        <v>1593</v>
      </c>
    </row>
    <row r="266" customFormat="false" ht="35.05" hidden="false" customHeight="false" outlineLevel="0" collapsed="false">
      <c r="A266" s="8" t="s">
        <v>1594</v>
      </c>
      <c r="B266" s="8" t="s">
        <v>37</v>
      </c>
      <c r="C266" s="9" t="s">
        <v>1595</v>
      </c>
      <c r="D266" s="8" t="n">
        <v>2025</v>
      </c>
      <c r="E266" s="8" t="s">
        <v>171</v>
      </c>
      <c r="F266" s="8" t="s">
        <v>1596</v>
      </c>
      <c r="G266" s="8" t="s">
        <v>329</v>
      </c>
      <c r="H266" s="13" t="s">
        <v>1597</v>
      </c>
      <c r="I266" s="8" t="s">
        <v>139</v>
      </c>
      <c r="J266" s="8" t="s">
        <v>85</v>
      </c>
      <c r="K266" s="8"/>
      <c r="L266" s="8"/>
      <c r="M266" s="8"/>
      <c r="N266" s="10"/>
      <c r="O266" s="11" t="str">
        <f aca="false">IF(N266="",IF(I266="Include","Include",J266),N266)</f>
        <v>EC6</v>
      </c>
      <c r="P266" s="11" t="s">
        <v>1598</v>
      </c>
    </row>
    <row r="267" customFormat="false" ht="23.85" hidden="false" customHeight="false" outlineLevel="0" collapsed="false">
      <c r="A267" s="8" t="s">
        <v>1599</v>
      </c>
      <c r="B267" s="8" t="s">
        <v>37</v>
      </c>
      <c r="C267" s="9" t="s">
        <v>1600</v>
      </c>
      <c r="D267" s="8" t="n">
        <v>2025</v>
      </c>
      <c r="E267" s="8" t="s">
        <v>143</v>
      </c>
      <c r="F267" s="8" t="s">
        <v>1601</v>
      </c>
      <c r="G267" s="8" t="s">
        <v>1602</v>
      </c>
      <c r="H267" s="13" t="s">
        <v>1603</v>
      </c>
      <c r="I267" s="8" t="s">
        <v>139</v>
      </c>
      <c r="J267" s="8" t="s">
        <v>85</v>
      </c>
      <c r="K267" s="8"/>
      <c r="L267" s="8"/>
      <c r="M267" s="8"/>
      <c r="N267" s="10"/>
      <c r="O267" s="11" t="str">
        <f aca="false">IF(N267="",IF(I267="Include","Include",J267),N267)</f>
        <v>EC6</v>
      </c>
      <c r="P267" s="11" t="s">
        <v>1604</v>
      </c>
    </row>
    <row r="268" customFormat="false" ht="15" hidden="false" customHeight="false" outlineLevel="0" collapsed="false">
      <c r="A268" s="8" t="s">
        <v>1605</v>
      </c>
      <c r="B268" s="8" t="s">
        <v>37</v>
      </c>
      <c r="C268" s="9" t="s">
        <v>1606</v>
      </c>
      <c r="D268" s="8" t="n">
        <v>2019</v>
      </c>
      <c r="E268" s="8" t="s">
        <v>143</v>
      </c>
      <c r="F268" s="8" t="s">
        <v>1607</v>
      </c>
      <c r="G268" s="8" t="s">
        <v>1608</v>
      </c>
      <c r="H268" s="13" t="s">
        <v>1609</v>
      </c>
      <c r="I268" s="8" t="s">
        <v>139</v>
      </c>
      <c r="J268" s="8" t="s">
        <v>85</v>
      </c>
      <c r="K268" s="8"/>
      <c r="L268" s="8"/>
      <c r="M268" s="8"/>
      <c r="N268" s="10"/>
      <c r="O268" s="11" t="str">
        <f aca="false">IF(N268="",IF(I268="Include","Include",J268),N268)</f>
        <v>EC6</v>
      </c>
      <c r="P268" s="11" t="s">
        <v>1610</v>
      </c>
    </row>
    <row r="269" customFormat="false" ht="15" hidden="false" customHeight="false" outlineLevel="0" collapsed="false">
      <c r="A269" s="8" t="s">
        <v>1611</v>
      </c>
      <c r="B269" s="8" t="s">
        <v>37</v>
      </c>
      <c r="C269" s="9" t="s">
        <v>1612</v>
      </c>
      <c r="D269" s="8" t="n">
        <v>2023</v>
      </c>
      <c r="E269" s="8" t="s">
        <v>577</v>
      </c>
      <c r="F269" s="8" t="s">
        <v>1613</v>
      </c>
      <c r="G269" s="8" t="s">
        <v>1614</v>
      </c>
      <c r="H269" s="8"/>
      <c r="I269" s="8" t="s">
        <v>139</v>
      </c>
      <c r="J269" s="8" t="s">
        <v>85</v>
      </c>
      <c r="K269" s="8"/>
      <c r="L269" s="8"/>
      <c r="M269" s="8"/>
      <c r="N269" s="10"/>
      <c r="O269" s="11" t="str">
        <f aca="false">IF(N269="",IF(I269="Include","Include",J269),N269)</f>
        <v>EC6</v>
      </c>
      <c r="P269" s="11" t="s">
        <v>1615</v>
      </c>
    </row>
    <row r="270" customFormat="false" ht="23.85" hidden="false" customHeight="false" outlineLevel="0" collapsed="false">
      <c r="A270" s="8" t="s">
        <v>1616</v>
      </c>
      <c r="B270" s="8" t="s">
        <v>37</v>
      </c>
      <c r="C270" s="9" t="s">
        <v>1617</v>
      </c>
      <c r="D270" s="8" t="n">
        <v>2020</v>
      </c>
      <c r="E270" s="8" t="s">
        <v>143</v>
      </c>
      <c r="F270" s="8" t="s">
        <v>1618</v>
      </c>
      <c r="G270" s="8" t="s">
        <v>1619</v>
      </c>
      <c r="H270" s="13" t="s">
        <v>1620</v>
      </c>
      <c r="I270" s="8" t="s">
        <v>139</v>
      </c>
      <c r="J270" s="8" t="s">
        <v>85</v>
      </c>
      <c r="K270" s="8"/>
      <c r="L270" s="8"/>
      <c r="M270" s="8"/>
      <c r="N270" s="10"/>
      <c r="O270" s="11" t="str">
        <f aca="false">IF(N270="",IF(I270="Include","Include",J270),N270)</f>
        <v>EC6</v>
      </c>
      <c r="P270" s="11" t="s">
        <v>1621</v>
      </c>
    </row>
    <row r="271" customFormat="false" ht="23.85" hidden="false" customHeight="false" outlineLevel="0" collapsed="false">
      <c r="A271" s="8" t="s">
        <v>1622</v>
      </c>
      <c r="B271" s="8" t="s">
        <v>37</v>
      </c>
      <c r="C271" s="9" t="s">
        <v>1623</v>
      </c>
      <c r="D271" s="8" t="n">
        <v>2025</v>
      </c>
      <c r="E271" s="8" t="s">
        <v>143</v>
      </c>
      <c r="F271" s="8" t="s">
        <v>1624</v>
      </c>
      <c r="G271" s="8" t="s">
        <v>1625</v>
      </c>
      <c r="H271" s="13" t="s">
        <v>1626</v>
      </c>
      <c r="I271" s="8" t="s">
        <v>139</v>
      </c>
      <c r="J271" s="8" t="s">
        <v>85</v>
      </c>
      <c r="K271" s="8"/>
      <c r="L271" s="8"/>
      <c r="M271" s="8"/>
      <c r="N271" s="10"/>
      <c r="O271" s="11" t="str">
        <f aca="false">IF(N271="",IF(I271="Include","Include",J271),N271)</f>
        <v>EC6</v>
      </c>
      <c r="P271" s="11" t="s">
        <v>1627</v>
      </c>
    </row>
    <row r="272" customFormat="false" ht="23.85" hidden="false" customHeight="false" outlineLevel="0" collapsed="false">
      <c r="A272" s="8" t="s">
        <v>1628</v>
      </c>
      <c r="B272" s="8" t="s">
        <v>37</v>
      </c>
      <c r="C272" s="9" t="s">
        <v>1629</v>
      </c>
      <c r="D272" s="8" t="n">
        <v>2026</v>
      </c>
      <c r="E272" s="8" t="s">
        <v>143</v>
      </c>
      <c r="F272" s="8" t="s">
        <v>1630</v>
      </c>
      <c r="G272" s="8" t="s">
        <v>1631</v>
      </c>
      <c r="H272" s="13" t="s">
        <v>1632</v>
      </c>
      <c r="I272" s="8" t="s">
        <v>139</v>
      </c>
      <c r="J272" s="8" t="s">
        <v>85</v>
      </c>
      <c r="K272" s="8"/>
      <c r="L272" s="8"/>
      <c r="M272" s="8"/>
      <c r="N272" s="10"/>
      <c r="O272" s="11" t="str">
        <f aca="false">IF(N272="",IF(I272="Include","Include",J272),N272)</f>
        <v>EC6</v>
      </c>
      <c r="P272" s="11" t="s">
        <v>1633</v>
      </c>
    </row>
    <row r="273" customFormat="false" ht="23.85" hidden="false" customHeight="false" outlineLevel="0" collapsed="false">
      <c r="A273" s="8" t="s">
        <v>1634</v>
      </c>
      <c r="B273" s="8" t="s">
        <v>37</v>
      </c>
      <c r="C273" s="9" t="s">
        <v>1635</v>
      </c>
      <c r="D273" s="8" t="n">
        <v>2022</v>
      </c>
      <c r="E273" s="8" t="s">
        <v>138</v>
      </c>
      <c r="F273" s="8"/>
      <c r="G273" s="8" t="s">
        <v>613</v>
      </c>
      <c r="H273" s="8"/>
      <c r="I273" s="8" t="s">
        <v>139</v>
      </c>
      <c r="J273" s="8" t="s">
        <v>81</v>
      </c>
      <c r="K273" s="8"/>
      <c r="L273" s="8"/>
      <c r="M273" s="8"/>
      <c r="N273" s="10"/>
      <c r="O273" s="11" t="str">
        <f aca="false">IF(N273="",IF(I273="Include","Include",J273),N273)</f>
        <v>EC4</v>
      </c>
      <c r="P273" s="11" t="s">
        <v>1636</v>
      </c>
    </row>
    <row r="274" customFormat="false" ht="15" hidden="false" customHeight="false" outlineLevel="0" collapsed="false">
      <c r="A274" s="11" t="s">
        <v>1637</v>
      </c>
      <c r="B274" s="11" t="s">
        <v>37</v>
      </c>
      <c r="C274" s="2" t="s">
        <v>1638</v>
      </c>
      <c r="D274" s="11" t="n">
        <v>2022</v>
      </c>
      <c r="E274" s="11" t="s">
        <v>143</v>
      </c>
      <c r="F274" s="11" t="s">
        <v>1639</v>
      </c>
      <c r="G274" s="11" t="s">
        <v>1059</v>
      </c>
      <c r="H274" s="12" t="s">
        <v>1640</v>
      </c>
      <c r="I274" s="11" t="s">
        <v>147</v>
      </c>
      <c r="J274" s="11"/>
      <c r="K274" s="11" t="s">
        <v>109</v>
      </c>
      <c r="L274" s="11" t="s">
        <v>107</v>
      </c>
      <c r="M274" s="11" t="s">
        <v>148</v>
      </c>
      <c r="N274" s="10"/>
      <c r="O274" s="11" t="str">
        <f aca="false">IF(N274="",IF(I274="Include","Include",J274),N274)</f>
        <v>Include</v>
      </c>
      <c r="P274" s="11" t="s">
        <v>1641</v>
      </c>
    </row>
    <row r="275" customFormat="false" ht="23.85" hidden="false" customHeight="false" outlineLevel="0" collapsed="false">
      <c r="A275" s="8" t="s">
        <v>1642</v>
      </c>
      <c r="B275" s="8" t="s">
        <v>37</v>
      </c>
      <c r="C275" s="9" t="s">
        <v>1643</v>
      </c>
      <c r="D275" s="8" t="n">
        <v>2021</v>
      </c>
      <c r="E275" s="8" t="s">
        <v>143</v>
      </c>
      <c r="F275" s="8" t="s">
        <v>1644</v>
      </c>
      <c r="G275" s="8" t="s">
        <v>1645</v>
      </c>
      <c r="H275" s="13" t="s">
        <v>1646</v>
      </c>
      <c r="I275" s="8" t="s">
        <v>139</v>
      </c>
      <c r="J275" s="8" t="s">
        <v>85</v>
      </c>
      <c r="K275" s="8"/>
      <c r="L275" s="8"/>
      <c r="M275" s="8"/>
      <c r="N275" s="10"/>
      <c r="O275" s="11" t="str">
        <f aca="false">IF(N275="",IF(I275="Include","Include",J275),N275)</f>
        <v>EC6</v>
      </c>
      <c r="P275" s="11" t="s">
        <v>1647</v>
      </c>
    </row>
    <row r="276" customFormat="false" ht="23.85" hidden="false" customHeight="false" outlineLevel="0" collapsed="false">
      <c r="A276" s="11" t="s">
        <v>1648</v>
      </c>
      <c r="B276" s="11" t="s">
        <v>37</v>
      </c>
      <c r="C276" s="2" t="s">
        <v>1649</v>
      </c>
      <c r="D276" s="11" t="n">
        <v>2019</v>
      </c>
      <c r="E276" s="11" t="s">
        <v>171</v>
      </c>
      <c r="F276" s="11" t="s">
        <v>1650</v>
      </c>
      <c r="G276" s="11" t="s">
        <v>1651</v>
      </c>
      <c r="H276" s="12" t="s">
        <v>1652</v>
      </c>
      <c r="I276" s="11" t="s">
        <v>147</v>
      </c>
      <c r="J276" s="11"/>
      <c r="K276" s="11" t="s">
        <v>115</v>
      </c>
      <c r="L276" s="11" t="s">
        <v>116</v>
      </c>
      <c r="M276" s="11" t="s">
        <v>161</v>
      </c>
      <c r="N276" s="10"/>
      <c r="O276" s="11" t="str">
        <f aca="false">IF(N276="",IF(I276="Include","Include",J276),N276)</f>
        <v>Include</v>
      </c>
      <c r="P276" s="11" t="s">
        <v>1653</v>
      </c>
    </row>
    <row r="277" customFormat="false" ht="23.85" hidden="false" customHeight="false" outlineLevel="0" collapsed="false">
      <c r="A277" s="8" t="s">
        <v>1654</v>
      </c>
      <c r="B277" s="8" t="s">
        <v>37</v>
      </c>
      <c r="C277" s="9" t="s">
        <v>1655</v>
      </c>
      <c r="D277" s="8" t="n">
        <v>2025</v>
      </c>
      <c r="E277" s="8" t="s">
        <v>171</v>
      </c>
      <c r="F277" s="8" t="s">
        <v>1656</v>
      </c>
      <c r="G277" s="8" t="s">
        <v>595</v>
      </c>
      <c r="H277" s="13" t="s">
        <v>1657</v>
      </c>
      <c r="I277" s="8" t="s">
        <v>139</v>
      </c>
      <c r="J277" s="8" t="s">
        <v>85</v>
      </c>
      <c r="K277" s="8"/>
      <c r="L277" s="8"/>
      <c r="M277" s="8"/>
      <c r="N277" s="10"/>
      <c r="O277" s="11" t="str">
        <f aca="false">IF(N277="",IF(I277="Include","Include",J277),N277)</f>
        <v>EC6</v>
      </c>
      <c r="P277" s="11" t="s">
        <v>1658</v>
      </c>
    </row>
    <row r="278" customFormat="false" ht="23.85" hidden="false" customHeight="false" outlineLevel="0" collapsed="false">
      <c r="A278" s="8" t="s">
        <v>1659</v>
      </c>
      <c r="B278" s="8" t="s">
        <v>1660</v>
      </c>
      <c r="C278" s="9" t="s">
        <v>1661</v>
      </c>
      <c r="D278" s="8" t="n">
        <v>2023</v>
      </c>
      <c r="E278" s="8" t="s">
        <v>138</v>
      </c>
      <c r="F278" s="8"/>
      <c r="G278" s="8" t="s">
        <v>1373</v>
      </c>
      <c r="H278" s="8"/>
      <c r="I278" s="8" t="s">
        <v>139</v>
      </c>
      <c r="J278" s="8" t="s">
        <v>81</v>
      </c>
      <c r="K278" s="8"/>
      <c r="L278" s="8"/>
      <c r="M278" s="8"/>
      <c r="N278" s="10"/>
      <c r="O278" s="11" t="str">
        <f aca="false">IF(N278="",IF(I278="Include","Include",J278),N278)</f>
        <v>EC4</v>
      </c>
      <c r="P278" s="11" t="s">
        <v>1662</v>
      </c>
    </row>
    <row r="279" customFormat="false" ht="23.85" hidden="false" customHeight="false" outlineLevel="0" collapsed="false">
      <c r="A279" s="8" t="s">
        <v>1663</v>
      </c>
      <c r="B279" s="8" t="s">
        <v>37</v>
      </c>
      <c r="C279" s="9" t="s">
        <v>1664</v>
      </c>
      <c r="D279" s="8" t="n">
        <v>2025</v>
      </c>
      <c r="E279" s="8" t="s">
        <v>171</v>
      </c>
      <c r="F279" s="8" t="s">
        <v>1665</v>
      </c>
      <c r="G279" s="8" t="s">
        <v>1666</v>
      </c>
      <c r="H279" s="13" t="s">
        <v>1667</v>
      </c>
      <c r="I279" s="8" t="s">
        <v>139</v>
      </c>
      <c r="J279" s="8" t="s">
        <v>85</v>
      </c>
      <c r="K279" s="8"/>
      <c r="L279" s="8"/>
      <c r="M279" s="8"/>
      <c r="N279" s="10"/>
      <c r="O279" s="11" t="str">
        <f aca="false">IF(N279="",IF(I279="Include","Include",J279),N279)</f>
        <v>EC6</v>
      </c>
      <c r="P279" s="11" t="s">
        <v>1668</v>
      </c>
    </row>
    <row r="280" customFormat="false" ht="23.85" hidden="false" customHeight="false" outlineLevel="0" collapsed="false">
      <c r="A280" s="11" t="s">
        <v>1669</v>
      </c>
      <c r="B280" s="11" t="s">
        <v>37</v>
      </c>
      <c r="C280" s="2" t="s">
        <v>1670</v>
      </c>
      <c r="D280" s="11" t="n">
        <v>2024</v>
      </c>
      <c r="E280" s="11" t="s">
        <v>171</v>
      </c>
      <c r="F280" s="11" t="s">
        <v>1671</v>
      </c>
      <c r="G280" s="11" t="s">
        <v>1672</v>
      </c>
      <c r="H280" s="12" t="s">
        <v>1673</v>
      </c>
      <c r="I280" s="11" t="s">
        <v>147</v>
      </c>
      <c r="J280" s="11"/>
      <c r="K280" s="11" t="s">
        <v>96</v>
      </c>
      <c r="L280" s="11" t="s">
        <v>99</v>
      </c>
      <c r="M280" s="11" t="s">
        <v>161</v>
      </c>
      <c r="N280" s="10"/>
      <c r="O280" s="11" t="str">
        <f aca="false">IF(N280="",IF(I280="Include","Include",J280),N280)</f>
        <v>Include</v>
      </c>
      <c r="P280" s="11" t="s">
        <v>1674</v>
      </c>
    </row>
    <row r="281" customFormat="false" ht="23.85" hidden="false" customHeight="false" outlineLevel="0" collapsed="false">
      <c r="A281" s="8" t="s">
        <v>1675</v>
      </c>
      <c r="B281" s="8" t="s">
        <v>37</v>
      </c>
      <c r="C281" s="9" t="s">
        <v>1676</v>
      </c>
      <c r="D281" s="8" t="n">
        <v>2025</v>
      </c>
      <c r="E281" s="8" t="s">
        <v>143</v>
      </c>
      <c r="F281" s="8" t="s">
        <v>1677</v>
      </c>
      <c r="G281" s="8" t="s">
        <v>1678</v>
      </c>
      <c r="H281" s="13" t="s">
        <v>1679</v>
      </c>
      <c r="I281" s="8" t="s">
        <v>139</v>
      </c>
      <c r="J281" s="8" t="s">
        <v>87</v>
      </c>
      <c r="K281" s="8"/>
      <c r="L281" s="8"/>
      <c r="M281" s="8"/>
      <c r="N281" s="10"/>
      <c r="O281" s="11" t="str">
        <f aca="false">IF(N281="",IF(I281="Include","Include",J281),N281)</f>
        <v>EC7</v>
      </c>
      <c r="P281" s="11" t="s">
        <v>1680</v>
      </c>
    </row>
    <row r="282" customFormat="false" ht="23.85" hidden="false" customHeight="false" outlineLevel="0" collapsed="false">
      <c r="A282" s="8" t="s">
        <v>1681</v>
      </c>
      <c r="B282" s="8" t="s">
        <v>37</v>
      </c>
      <c r="C282" s="9" t="s">
        <v>1682</v>
      </c>
      <c r="D282" s="8" t="n">
        <v>2025</v>
      </c>
      <c r="E282" s="8" t="s">
        <v>143</v>
      </c>
      <c r="F282" s="8" t="s">
        <v>1683</v>
      </c>
      <c r="G282" s="8" t="s">
        <v>1684</v>
      </c>
      <c r="H282" s="13" t="s">
        <v>1685</v>
      </c>
      <c r="I282" s="8" t="s">
        <v>139</v>
      </c>
      <c r="J282" s="8" t="s">
        <v>85</v>
      </c>
      <c r="K282" s="8"/>
      <c r="L282" s="8"/>
      <c r="M282" s="8"/>
      <c r="N282" s="10"/>
      <c r="O282" s="11" t="str">
        <f aca="false">IF(N282="",IF(I282="Include","Include",J282),N282)</f>
        <v>EC6</v>
      </c>
      <c r="P282" s="11" t="s">
        <v>1686</v>
      </c>
    </row>
    <row r="283" customFormat="false" ht="23.85" hidden="false" customHeight="false" outlineLevel="0" collapsed="false">
      <c r="A283" s="11" t="s">
        <v>1687</v>
      </c>
      <c r="B283" s="11" t="s">
        <v>37</v>
      </c>
      <c r="C283" s="2" t="s">
        <v>1688</v>
      </c>
      <c r="D283" s="11" t="n">
        <v>2023</v>
      </c>
      <c r="E283" s="11" t="s">
        <v>143</v>
      </c>
      <c r="F283" s="11" t="s">
        <v>1689</v>
      </c>
      <c r="G283" s="11" t="s">
        <v>1690</v>
      </c>
      <c r="H283" s="12" t="s">
        <v>1691</v>
      </c>
      <c r="I283" s="11" t="s">
        <v>147</v>
      </c>
      <c r="J283" s="11"/>
      <c r="K283" s="11" t="s">
        <v>96</v>
      </c>
      <c r="L283" s="11" t="s">
        <v>105</v>
      </c>
      <c r="M283" s="11" t="s">
        <v>148</v>
      </c>
      <c r="N283" s="10"/>
      <c r="O283" s="11" t="str">
        <f aca="false">IF(N283="",IF(I283="Include","Include",J283),N283)</f>
        <v>Include</v>
      </c>
      <c r="P283" s="11" t="s">
        <v>1692</v>
      </c>
    </row>
    <row r="284" customFormat="false" ht="23.85" hidden="false" customHeight="false" outlineLevel="0" collapsed="false">
      <c r="A284" s="11" t="s">
        <v>1693</v>
      </c>
      <c r="B284" s="11" t="s">
        <v>37</v>
      </c>
      <c r="C284" s="2" t="s">
        <v>1694</v>
      </c>
      <c r="D284" s="11" t="n">
        <v>2020</v>
      </c>
      <c r="E284" s="11" t="s">
        <v>143</v>
      </c>
      <c r="F284" s="11" t="s">
        <v>1695</v>
      </c>
      <c r="G284" s="11" t="s">
        <v>1696</v>
      </c>
      <c r="H284" s="12" t="s">
        <v>1697</v>
      </c>
      <c r="I284" s="11" t="s">
        <v>147</v>
      </c>
      <c r="J284" s="11"/>
      <c r="K284" s="11" t="s">
        <v>109</v>
      </c>
      <c r="L284" s="11" t="s">
        <v>107</v>
      </c>
      <c r="M284" s="11" t="s">
        <v>148</v>
      </c>
      <c r="N284" s="10"/>
      <c r="O284" s="11" t="str">
        <f aca="false">IF(N284="",IF(I284="Include","Include",J284),N284)</f>
        <v>Include</v>
      </c>
      <c r="P284" s="11" t="s">
        <v>1698</v>
      </c>
    </row>
    <row r="285" customFormat="false" ht="23.85" hidden="false" customHeight="false" outlineLevel="0" collapsed="false">
      <c r="A285" s="8" t="s">
        <v>1699</v>
      </c>
      <c r="B285" s="8" t="s">
        <v>37</v>
      </c>
      <c r="C285" s="9" t="s">
        <v>1700</v>
      </c>
      <c r="D285" s="8" t="n">
        <v>2026</v>
      </c>
      <c r="E285" s="8" t="s">
        <v>143</v>
      </c>
      <c r="F285" s="8" t="s">
        <v>1701</v>
      </c>
      <c r="G285" s="8" t="s">
        <v>1702</v>
      </c>
      <c r="H285" s="13" t="s">
        <v>1703</v>
      </c>
      <c r="I285" s="8" t="s">
        <v>139</v>
      </c>
      <c r="J285" s="8" t="s">
        <v>87</v>
      </c>
      <c r="K285" s="8"/>
      <c r="L285" s="8"/>
      <c r="M285" s="8"/>
      <c r="N285" s="10"/>
      <c r="O285" s="11" t="str">
        <f aca="false">IF(N285="",IF(I285="Include","Include",J285),N285)</f>
        <v>EC7</v>
      </c>
      <c r="P285" s="11" t="s">
        <v>1704</v>
      </c>
    </row>
    <row r="286" customFormat="false" ht="23.85" hidden="false" customHeight="false" outlineLevel="0" collapsed="false">
      <c r="A286" s="8" t="s">
        <v>1705</v>
      </c>
      <c r="B286" s="8" t="s">
        <v>37</v>
      </c>
      <c r="C286" s="9" t="s">
        <v>1706</v>
      </c>
      <c r="D286" s="8" t="n">
        <v>2024</v>
      </c>
      <c r="E286" s="8" t="s">
        <v>143</v>
      </c>
      <c r="F286" s="8" t="s">
        <v>1707</v>
      </c>
      <c r="G286" s="8" t="s">
        <v>1708</v>
      </c>
      <c r="H286" s="13" t="s">
        <v>1709</v>
      </c>
      <c r="I286" s="8" t="s">
        <v>139</v>
      </c>
      <c r="J286" s="8" t="s">
        <v>87</v>
      </c>
      <c r="K286" s="8"/>
      <c r="L286" s="8"/>
      <c r="M286" s="8"/>
      <c r="N286" s="10"/>
      <c r="O286" s="11" t="str">
        <f aca="false">IF(N286="",IF(I286="Include","Include",J286),N286)</f>
        <v>EC7</v>
      </c>
      <c r="P286" s="11" t="s">
        <v>1710</v>
      </c>
    </row>
    <row r="287" customFormat="false" ht="23.85" hidden="false" customHeight="false" outlineLevel="0" collapsed="false">
      <c r="A287" s="8" t="s">
        <v>1711</v>
      </c>
      <c r="B287" s="8" t="s">
        <v>37</v>
      </c>
      <c r="C287" s="9" t="s">
        <v>1712</v>
      </c>
      <c r="D287" s="8" t="n">
        <v>2026</v>
      </c>
      <c r="E287" s="8" t="s">
        <v>143</v>
      </c>
      <c r="F287" s="8" t="s">
        <v>1713</v>
      </c>
      <c r="G287" s="8" t="s">
        <v>1714</v>
      </c>
      <c r="H287" s="13" t="s">
        <v>1715</v>
      </c>
      <c r="I287" s="8" t="s">
        <v>139</v>
      </c>
      <c r="J287" s="8" t="s">
        <v>87</v>
      </c>
      <c r="K287" s="8"/>
      <c r="L287" s="8"/>
      <c r="M287" s="8"/>
      <c r="N287" s="10"/>
      <c r="O287" s="11" t="str">
        <f aca="false">IF(N287="",IF(I287="Include","Include",J287),N287)</f>
        <v>EC7</v>
      </c>
      <c r="P287" s="11" t="s">
        <v>1716</v>
      </c>
    </row>
    <row r="288" customFormat="false" ht="23.85" hidden="false" customHeight="false" outlineLevel="0" collapsed="false">
      <c r="A288" s="8" t="s">
        <v>1717</v>
      </c>
      <c r="B288" s="8" t="s">
        <v>37</v>
      </c>
      <c r="C288" s="9" t="s">
        <v>1718</v>
      </c>
      <c r="D288" s="8" t="n">
        <v>2024</v>
      </c>
      <c r="E288" s="8" t="s">
        <v>143</v>
      </c>
      <c r="F288" s="8" t="s">
        <v>1719</v>
      </c>
      <c r="G288" s="8" t="s">
        <v>1720</v>
      </c>
      <c r="H288" s="13" t="s">
        <v>1721</v>
      </c>
      <c r="I288" s="8" t="s">
        <v>139</v>
      </c>
      <c r="J288" s="8" t="s">
        <v>85</v>
      </c>
      <c r="K288" s="8"/>
      <c r="L288" s="8"/>
      <c r="M288" s="8"/>
      <c r="N288" s="10"/>
      <c r="O288" s="11" t="str">
        <f aca="false">IF(N288="",IF(I288="Include","Include",J288),N288)</f>
        <v>EC6</v>
      </c>
      <c r="P288" s="11" t="s">
        <v>1722</v>
      </c>
    </row>
    <row r="289" customFormat="false" ht="23.85" hidden="false" customHeight="false" outlineLevel="0" collapsed="false">
      <c r="A289" s="8" t="s">
        <v>1723</v>
      </c>
      <c r="B289" s="8" t="s">
        <v>37</v>
      </c>
      <c r="C289" s="9" t="s">
        <v>1724</v>
      </c>
      <c r="D289" s="8" t="n">
        <v>2025</v>
      </c>
      <c r="E289" s="8" t="s">
        <v>143</v>
      </c>
      <c r="F289" s="8" t="s">
        <v>1725</v>
      </c>
      <c r="G289" s="8" t="s">
        <v>1726</v>
      </c>
      <c r="H289" s="13" t="s">
        <v>1727</v>
      </c>
      <c r="I289" s="8" t="s">
        <v>139</v>
      </c>
      <c r="J289" s="8" t="s">
        <v>85</v>
      </c>
      <c r="K289" s="8"/>
      <c r="L289" s="8"/>
      <c r="M289" s="8"/>
      <c r="N289" s="10"/>
      <c r="O289" s="11" t="str">
        <f aca="false">IF(N289="",IF(I289="Include","Include",J289),N289)</f>
        <v>EC6</v>
      </c>
      <c r="P289" s="11" t="s">
        <v>1728</v>
      </c>
    </row>
    <row r="290" customFormat="false" ht="23.85" hidden="false" customHeight="false" outlineLevel="0" collapsed="false">
      <c r="A290" s="8" t="s">
        <v>1729</v>
      </c>
      <c r="B290" s="8" t="s">
        <v>37</v>
      </c>
      <c r="C290" s="9" t="s">
        <v>1730</v>
      </c>
      <c r="D290" s="8" t="n">
        <v>2023</v>
      </c>
      <c r="E290" s="8" t="s">
        <v>143</v>
      </c>
      <c r="F290" s="8" t="s">
        <v>1731</v>
      </c>
      <c r="G290" s="8" t="s">
        <v>1530</v>
      </c>
      <c r="H290" s="13" t="s">
        <v>1732</v>
      </c>
      <c r="I290" s="8" t="s">
        <v>139</v>
      </c>
      <c r="J290" s="8" t="s">
        <v>87</v>
      </c>
      <c r="K290" s="8"/>
      <c r="L290" s="8"/>
      <c r="M290" s="8"/>
      <c r="N290" s="10"/>
      <c r="O290" s="11" t="str">
        <f aca="false">IF(N290="",IF(I290="Include","Include",J290),N290)</f>
        <v>EC7</v>
      </c>
      <c r="P290" s="11" t="s">
        <v>1733</v>
      </c>
    </row>
    <row r="291" customFormat="false" ht="23.85" hidden="false" customHeight="false" outlineLevel="0" collapsed="false">
      <c r="A291" s="8" t="s">
        <v>1734</v>
      </c>
      <c r="B291" s="8" t="s">
        <v>37</v>
      </c>
      <c r="C291" s="9" t="s">
        <v>1735</v>
      </c>
      <c r="D291" s="8" t="n">
        <v>2026</v>
      </c>
      <c r="E291" s="8" t="s">
        <v>138</v>
      </c>
      <c r="F291" s="8"/>
      <c r="G291" s="8" t="s">
        <v>1373</v>
      </c>
      <c r="H291" s="8"/>
      <c r="I291" s="8" t="s">
        <v>139</v>
      </c>
      <c r="J291" s="8" t="s">
        <v>81</v>
      </c>
      <c r="K291" s="8"/>
      <c r="L291" s="8"/>
      <c r="M291" s="8"/>
      <c r="N291" s="10"/>
      <c r="O291" s="11" t="str">
        <f aca="false">IF(N291="",IF(I291="Include","Include",J291),N291)</f>
        <v>EC4</v>
      </c>
      <c r="P291" s="11" t="s">
        <v>1736</v>
      </c>
    </row>
    <row r="292" customFormat="false" ht="23.85" hidden="false" customHeight="false" outlineLevel="0" collapsed="false">
      <c r="A292" s="8" t="s">
        <v>1737</v>
      </c>
      <c r="B292" s="8" t="s">
        <v>37</v>
      </c>
      <c r="C292" s="9" t="s">
        <v>1738</v>
      </c>
      <c r="D292" s="8" t="n">
        <v>2025</v>
      </c>
      <c r="E292" s="8" t="s">
        <v>143</v>
      </c>
      <c r="F292" s="8" t="s">
        <v>1739</v>
      </c>
      <c r="G292" s="8" t="s">
        <v>1740</v>
      </c>
      <c r="H292" s="13" t="s">
        <v>1741</v>
      </c>
      <c r="I292" s="8" t="s">
        <v>139</v>
      </c>
      <c r="J292" s="8" t="s">
        <v>87</v>
      </c>
      <c r="K292" s="8"/>
      <c r="L292" s="8"/>
      <c r="M292" s="8"/>
      <c r="N292" s="10"/>
      <c r="O292" s="11" t="str">
        <f aca="false">IF(N292="",IF(I292="Include","Include",J292),N292)</f>
        <v>EC7</v>
      </c>
      <c r="P292" s="11" t="s">
        <v>1742</v>
      </c>
    </row>
    <row r="293" customFormat="false" ht="23.85" hidden="false" customHeight="false" outlineLevel="0" collapsed="false">
      <c r="A293" s="8" t="s">
        <v>1743</v>
      </c>
      <c r="B293" s="8" t="s">
        <v>37</v>
      </c>
      <c r="C293" s="9" t="s">
        <v>1744</v>
      </c>
      <c r="D293" s="8" t="n">
        <v>2025</v>
      </c>
      <c r="E293" s="8" t="s">
        <v>143</v>
      </c>
      <c r="F293" s="8" t="s">
        <v>1745</v>
      </c>
      <c r="G293" s="8" t="s">
        <v>1746</v>
      </c>
      <c r="H293" s="13" t="s">
        <v>1747</v>
      </c>
      <c r="I293" s="8" t="s">
        <v>139</v>
      </c>
      <c r="J293" s="8" t="s">
        <v>85</v>
      </c>
      <c r="K293" s="8"/>
      <c r="L293" s="8"/>
      <c r="M293" s="8"/>
      <c r="N293" s="10"/>
      <c r="O293" s="11" t="str">
        <f aca="false">IF(N293="",IF(I293="Include","Include",J293),N293)</f>
        <v>EC6</v>
      </c>
      <c r="P293" s="11" t="s">
        <v>1748</v>
      </c>
    </row>
    <row r="294" customFormat="false" ht="23.85" hidden="false" customHeight="false" outlineLevel="0" collapsed="false">
      <c r="A294" s="8" t="s">
        <v>1749</v>
      </c>
      <c r="B294" s="8" t="s">
        <v>37</v>
      </c>
      <c r="C294" s="9" t="s">
        <v>1750</v>
      </c>
      <c r="D294" s="8" t="n">
        <v>2019</v>
      </c>
      <c r="E294" s="8" t="s">
        <v>171</v>
      </c>
      <c r="F294" s="8" t="s">
        <v>1751</v>
      </c>
      <c r="G294" s="8" t="s">
        <v>1752</v>
      </c>
      <c r="H294" s="8"/>
      <c r="I294" s="8" t="s">
        <v>139</v>
      </c>
      <c r="J294" s="8" t="s">
        <v>87</v>
      </c>
      <c r="K294" s="8"/>
      <c r="L294" s="8"/>
      <c r="M294" s="8"/>
      <c r="N294" s="10"/>
      <c r="O294" s="11" t="str">
        <f aca="false">IF(N294="",IF(I294="Include","Include",J294),N294)</f>
        <v>EC7</v>
      </c>
      <c r="P294" s="11" t="s">
        <v>1753</v>
      </c>
    </row>
    <row r="295" customFormat="false" ht="23.85" hidden="false" customHeight="false" outlineLevel="0" collapsed="false">
      <c r="A295" s="8" t="s">
        <v>1754</v>
      </c>
      <c r="B295" s="8" t="s">
        <v>37</v>
      </c>
      <c r="C295" s="9" t="s">
        <v>1755</v>
      </c>
      <c r="D295" s="8" t="n">
        <v>2025</v>
      </c>
      <c r="E295" s="8" t="s">
        <v>143</v>
      </c>
      <c r="F295" s="8" t="s">
        <v>1756</v>
      </c>
      <c r="G295" s="8" t="s">
        <v>1757</v>
      </c>
      <c r="H295" s="13" t="s">
        <v>1758</v>
      </c>
      <c r="I295" s="8" t="s">
        <v>139</v>
      </c>
      <c r="J295" s="8" t="s">
        <v>85</v>
      </c>
      <c r="K295" s="8"/>
      <c r="L295" s="8"/>
      <c r="M295" s="8"/>
      <c r="N295" s="10"/>
      <c r="O295" s="11" t="str">
        <f aca="false">IF(N295="",IF(I295="Include","Include",J295),N295)</f>
        <v>EC6</v>
      </c>
      <c r="P295" s="11" t="s">
        <v>1759</v>
      </c>
    </row>
    <row r="296" customFormat="false" ht="23.85" hidden="false" customHeight="false" outlineLevel="0" collapsed="false">
      <c r="A296" s="11" t="s">
        <v>1760</v>
      </c>
      <c r="B296" s="11" t="s">
        <v>37</v>
      </c>
      <c r="C296" s="2" t="s">
        <v>1761</v>
      </c>
      <c r="D296" s="11" t="n">
        <v>2024</v>
      </c>
      <c r="E296" s="11" t="s">
        <v>171</v>
      </c>
      <c r="F296" s="11" t="s">
        <v>1762</v>
      </c>
      <c r="G296" s="11" t="s">
        <v>1763</v>
      </c>
      <c r="H296" s="12" t="s">
        <v>1764</v>
      </c>
      <c r="I296" s="11" t="s">
        <v>147</v>
      </c>
      <c r="J296" s="11"/>
      <c r="K296" s="11" t="s">
        <v>109</v>
      </c>
      <c r="L296" s="11" t="s">
        <v>107</v>
      </c>
      <c r="M296" s="11" t="s">
        <v>148</v>
      </c>
      <c r="N296" s="10"/>
      <c r="O296" s="11" t="str">
        <f aca="false">IF(N296="",IF(I296="Include","Include",J296),N296)</f>
        <v>Include</v>
      </c>
      <c r="P296" s="11" t="s">
        <v>1765</v>
      </c>
    </row>
    <row r="297" customFormat="false" ht="23.85" hidden="false" customHeight="false" outlineLevel="0" collapsed="false">
      <c r="A297" s="8" t="s">
        <v>1766</v>
      </c>
      <c r="B297" s="8" t="s">
        <v>37</v>
      </c>
      <c r="C297" s="9" t="s">
        <v>1767</v>
      </c>
      <c r="D297" s="8" t="n">
        <v>2021</v>
      </c>
      <c r="E297" s="8" t="s">
        <v>171</v>
      </c>
      <c r="F297" s="8"/>
      <c r="G297" s="8" t="s">
        <v>882</v>
      </c>
      <c r="H297" s="8"/>
      <c r="I297" s="8" t="s">
        <v>139</v>
      </c>
      <c r="J297" s="8" t="s">
        <v>81</v>
      </c>
      <c r="K297" s="8"/>
      <c r="L297" s="8"/>
      <c r="M297" s="8"/>
      <c r="N297" s="10"/>
      <c r="O297" s="11" t="str">
        <f aca="false">IF(N297="",IF(I297="Include","Include",J297),N297)</f>
        <v>EC4</v>
      </c>
      <c r="P297" s="11" t="s">
        <v>1768</v>
      </c>
    </row>
    <row r="298" customFormat="false" ht="23.85" hidden="false" customHeight="false" outlineLevel="0" collapsed="false">
      <c r="A298" s="11" t="s">
        <v>1769</v>
      </c>
      <c r="B298" s="11" t="s">
        <v>37</v>
      </c>
      <c r="C298" s="2" t="s">
        <v>1770</v>
      </c>
      <c r="D298" s="11" t="n">
        <v>2019</v>
      </c>
      <c r="E298" s="11" t="s">
        <v>143</v>
      </c>
      <c r="F298" s="11" t="s">
        <v>1771</v>
      </c>
      <c r="G298" s="11" t="s">
        <v>1772</v>
      </c>
      <c r="H298" s="12" t="s">
        <v>1773</v>
      </c>
      <c r="I298" s="11" t="s">
        <v>147</v>
      </c>
      <c r="J298" s="11"/>
      <c r="K298" s="11" t="s">
        <v>112</v>
      </c>
      <c r="L298" s="11" t="s">
        <v>110</v>
      </c>
      <c r="M298" s="11" t="s">
        <v>161</v>
      </c>
      <c r="N298" s="10"/>
      <c r="O298" s="11" t="str">
        <f aca="false">IF(N298="",IF(I298="Include","Include",J298),N298)</f>
        <v>Include</v>
      </c>
      <c r="P298" s="11" t="s">
        <v>1774</v>
      </c>
    </row>
    <row r="299" customFormat="false" ht="35.05" hidden="false" customHeight="false" outlineLevel="0" collapsed="false">
      <c r="A299" s="11" t="s">
        <v>1775</v>
      </c>
      <c r="B299" s="11" t="s">
        <v>37</v>
      </c>
      <c r="C299" s="2" t="s">
        <v>1776</v>
      </c>
      <c r="D299" s="11" t="n">
        <v>2026</v>
      </c>
      <c r="E299" s="11" t="s">
        <v>143</v>
      </c>
      <c r="F299" s="11" t="s">
        <v>1777</v>
      </c>
      <c r="G299" s="11" t="s">
        <v>1778</v>
      </c>
      <c r="H299" s="12" t="s">
        <v>1779</v>
      </c>
      <c r="I299" s="11" t="s">
        <v>147</v>
      </c>
      <c r="J299" s="11"/>
      <c r="K299" s="11" t="s">
        <v>109</v>
      </c>
      <c r="L299" s="11" t="s">
        <v>107</v>
      </c>
      <c r="M299" s="11" t="s">
        <v>210</v>
      </c>
      <c r="N299" s="10"/>
      <c r="O299" s="11" t="str">
        <f aca="false">IF(N299="",IF(I299="Include","Include",J299),N299)</f>
        <v>Include</v>
      </c>
      <c r="P299" s="11" t="s">
        <v>1780</v>
      </c>
    </row>
    <row r="300" customFormat="false" ht="23.85" hidden="false" customHeight="false" outlineLevel="0" collapsed="false">
      <c r="A300" s="8" t="s">
        <v>1781</v>
      </c>
      <c r="B300" s="8" t="s">
        <v>37</v>
      </c>
      <c r="C300" s="9" t="s">
        <v>1782</v>
      </c>
      <c r="D300" s="8" t="n">
        <v>2025</v>
      </c>
      <c r="E300" s="8" t="s">
        <v>171</v>
      </c>
      <c r="F300" s="8" t="s">
        <v>1783</v>
      </c>
      <c r="G300" s="8" t="s">
        <v>1784</v>
      </c>
      <c r="H300" s="13" t="s">
        <v>1785</v>
      </c>
      <c r="I300" s="8" t="s">
        <v>139</v>
      </c>
      <c r="J300" s="8" t="s">
        <v>85</v>
      </c>
      <c r="K300" s="8"/>
      <c r="L300" s="8"/>
      <c r="M300" s="8"/>
      <c r="N300" s="10"/>
      <c r="O300" s="11" t="str">
        <f aca="false">IF(N300="",IF(I300="Include","Include",J300),N300)</f>
        <v>EC6</v>
      </c>
      <c r="P300" s="11" t="s">
        <v>1786</v>
      </c>
    </row>
    <row r="301" customFormat="false" ht="23.85" hidden="false" customHeight="false" outlineLevel="0" collapsed="false">
      <c r="A301" s="8" t="s">
        <v>1787</v>
      </c>
      <c r="B301" s="8" t="s">
        <v>37</v>
      </c>
      <c r="C301" s="9" t="s">
        <v>1788</v>
      </c>
      <c r="D301" s="8" t="n">
        <v>2024</v>
      </c>
      <c r="E301" s="8" t="s">
        <v>138</v>
      </c>
      <c r="F301" s="8"/>
      <c r="G301" s="8" t="s">
        <v>1788</v>
      </c>
      <c r="H301" s="8"/>
      <c r="I301" s="8" t="s">
        <v>139</v>
      </c>
      <c r="J301" s="8" t="s">
        <v>81</v>
      </c>
      <c r="K301" s="8"/>
      <c r="L301" s="8"/>
      <c r="M301" s="8"/>
      <c r="N301" s="10"/>
      <c r="O301" s="11" t="str">
        <f aca="false">IF(N301="",IF(I301="Include","Include",J301),N301)</f>
        <v>EC4</v>
      </c>
      <c r="P301" s="11" t="s">
        <v>1789</v>
      </c>
    </row>
    <row r="302" customFormat="false" ht="23.85" hidden="false" customHeight="false" outlineLevel="0" collapsed="false">
      <c r="A302" s="8" t="s">
        <v>1790</v>
      </c>
      <c r="B302" s="8" t="s">
        <v>44</v>
      </c>
      <c r="C302" s="9" t="s">
        <v>1791</v>
      </c>
      <c r="D302" s="8" t="n">
        <v>2022</v>
      </c>
      <c r="E302" s="8" t="s">
        <v>143</v>
      </c>
      <c r="F302" s="8" t="s">
        <v>1792</v>
      </c>
      <c r="G302" s="8" t="s">
        <v>1793</v>
      </c>
      <c r="H302" s="13" t="s">
        <v>1794</v>
      </c>
      <c r="I302" s="8" t="s">
        <v>139</v>
      </c>
      <c r="J302" s="8" t="s">
        <v>87</v>
      </c>
      <c r="K302" s="8"/>
      <c r="L302" s="8"/>
      <c r="M302" s="8"/>
      <c r="N302" s="10"/>
      <c r="O302" s="11" t="str">
        <f aca="false">IF(N302="",IF(I302="Include","Include",J302),N302)</f>
        <v>EC7</v>
      </c>
      <c r="P302" s="11" t="s">
        <v>1795</v>
      </c>
    </row>
    <row r="303" customFormat="false" ht="35.05" hidden="false" customHeight="false" outlineLevel="0" collapsed="false">
      <c r="A303" s="8" t="s">
        <v>1796</v>
      </c>
      <c r="B303" s="8" t="s">
        <v>44</v>
      </c>
      <c r="C303" s="9" t="s">
        <v>1797</v>
      </c>
      <c r="D303" s="8" t="n">
        <v>2026</v>
      </c>
      <c r="E303" s="8" t="s">
        <v>171</v>
      </c>
      <c r="F303" s="8" t="s">
        <v>1798</v>
      </c>
      <c r="G303" s="8" t="s">
        <v>1799</v>
      </c>
      <c r="H303" s="13" t="s">
        <v>1800</v>
      </c>
      <c r="I303" s="8" t="s">
        <v>139</v>
      </c>
      <c r="J303" s="8" t="s">
        <v>85</v>
      </c>
      <c r="K303" s="8"/>
      <c r="L303" s="8"/>
      <c r="M303" s="8"/>
      <c r="N303" s="10"/>
      <c r="O303" s="11" t="str">
        <f aca="false">IF(N303="",IF(I303="Include","Include",J303),N303)</f>
        <v>EC6</v>
      </c>
      <c r="P303" s="11" t="s">
        <v>1801</v>
      </c>
    </row>
    <row r="304" customFormat="false" ht="23.85" hidden="false" customHeight="false" outlineLevel="0" collapsed="false">
      <c r="A304" s="8" t="s">
        <v>1802</v>
      </c>
      <c r="B304" s="8" t="s">
        <v>44</v>
      </c>
      <c r="C304" s="9" t="s">
        <v>1803</v>
      </c>
      <c r="D304" s="8" t="n">
        <v>2025</v>
      </c>
      <c r="E304" s="8" t="s">
        <v>143</v>
      </c>
      <c r="F304" s="8" t="s">
        <v>1804</v>
      </c>
      <c r="G304" s="8" t="s">
        <v>1805</v>
      </c>
      <c r="H304" s="13" t="s">
        <v>1806</v>
      </c>
      <c r="I304" s="8" t="s">
        <v>139</v>
      </c>
      <c r="J304" s="8" t="s">
        <v>85</v>
      </c>
      <c r="K304" s="8"/>
      <c r="L304" s="8"/>
      <c r="M304" s="8"/>
      <c r="N304" s="10"/>
      <c r="O304" s="11" t="str">
        <f aca="false">IF(N304="",IF(I304="Include","Include",J304),N304)</f>
        <v>EC6</v>
      </c>
      <c r="P304" s="11" t="s">
        <v>1807</v>
      </c>
    </row>
    <row r="305" customFormat="false" ht="35.05" hidden="false" customHeight="false" outlineLevel="0" collapsed="false">
      <c r="A305" s="11" t="s">
        <v>1808</v>
      </c>
      <c r="B305" s="11" t="s">
        <v>44</v>
      </c>
      <c r="C305" s="2" t="s">
        <v>1809</v>
      </c>
      <c r="D305" s="11" t="n">
        <v>2026</v>
      </c>
      <c r="E305" s="11" t="s">
        <v>171</v>
      </c>
      <c r="F305" s="11" t="s">
        <v>1810</v>
      </c>
      <c r="G305" s="11" t="s">
        <v>208</v>
      </c>
      <c r="H305" s="12" t="s">
        <v>1811</v>
      </c>
      <c r="I305" s="11" t="s">
        <v>147</v>
      </c>
      <c r="J305" s="11"/>
      <c r="K305" s="11" t="s">
        <v>115</v>
      </c>
      <c r="L305" s="11" t="s">
        <v>118</v>
      </c>
      <c r="M305" s="11" t="s">
        <v>148</v>
      </c>
      <c r="N305" s="10"/>
      <c r="O305" s="11" t="str">
        <f aca="false">IF(N305="",IF(I305="Include","Include",J305),N305)</f>
        <v>Include</v>
      </c>
      <c r="P305" s="11" t="s">
        <v>1812</v>
      </c>
    </row>
    <row r="306" customFormat="false" ht="23.85" hidden="false" customHeight="false" outlineLevel="0" collapsed="false">
      <c r="A306" s="11" t="s">
        <v>1813</v>
      </c>
      <c r="B306" s="11" t="s">
        <v>44</v>
      </c>
      <c r="C306" s="2" t="s">
        <v>1814</v>
      </c>
      <c r="D306" s="11" t="n">
        <v>2025</v>
      </c>
      <c r="E306" s="11" t="s">
        <v>143</v>
      </c>
      <c r="F306" s="11" t="s">
        <v>1815</v>
      </c>
      <c r="G306" s="11" t="s">
        <v>1816</v>
      </c>
      <c r="H306" s="12" t="s">
        <v>1817</v>
      </c>
      <c r="I306" s="11" t="s">
        <v>147</v>
      </c>
      <c r="J306" s="11"/>
      <c r="K306" s="11" t="s">
        <v>115</v>
      </c>
      <c r="L306" s="11" t="s">
        <v>116</v>
      </c>
      <c r="M306" s="11" t="s">
        <v>148</v>
      </c>
      <c r="N306" s="10"/>
      <c r="O306" s="11" t="str">
        <f aca="false">IF(N306="",IF(I306="Include","Include",J306),N306)</f>
        <v>Include</v>
      </c>
      <c r="P306" s="11" t="s">
        <v>1818</v>
      </c>
    </row>
    <row r="307" customFormat="false" ht="23.85" hidden="false" customHeight="false" outlineLevel="0" collapsed="false">
      <c r="A307" s="8" t="s">
        <v>1819</v>
      </c>
      <c r="B307" s="8" t="s">
        <v>44</v>
      </c>
      <c r="C307" s="9" t="s">
        <v>1820</v>
      </c>
      <c r="D307" s="8" t="n">
        <v>2026</v>
      </c>
      <c r="E307" s="8" t="s">
        <v>171</v>
      </c>
      <c r="F307" s="8" t="s">
        <v>1821</v>
      </c>
      <c r="G307" s="8" t="s">
        <v>1822</v>
      </c>
      <c r="H307" s="13" t="s">
        <v>1823</v>
      </c>
      <c r="I307" s="8" t="s">
        <v>139</v>
      </c>
      <c r="J307" s="8" t="s">
        <v>85</v>
      </c>
      <c r="K307" s="8"/>
      <c r="L307" s="8"/>
      <c r="M307" s="8"/>
      <c r="N307" s="10"/>
      <c r="O307" s="11" t="str">
        <f aca="false">IF(N307="",IF(I307="Include","Include",J307),N307)</f>
        <v>EC6</v>
      </c>
      <c r="P307" s="11" t="s">
        <v>1824</v>
      </c>
    </row>
    <row r="308" customFormat="false" ht="23.85" hidden="false" customHeight="false" outlineLevel="0" collapsed="false">
      <c r="A308" s="11" t="s">
        <v>1825</v>
      </c>
      <c r="B308" s="11" t="s">
        <v>44</v>
      </c>
      <c r="C308" s="2" t="s">
        <v>1826</v>
      </c>
      <c r="D308" s="11" t="n">
        <v>2026</v>
      </c>
      <c r="E308" s="11" t="s">
        <v>143</v>
      </c>
      <c r="F308" s="11" t="s">
        <v>1827</v>
      </c>
      <c r="G308" s="11" t="s">
        <v>508</v>
      </c>
      <c r="H308" s="12" t="s">
        <v>1828</v>
      </c>
      <c r="I308" s="11" t="s">
        <v>147</v>
      </c>
      <c r="J308" s="11"/>
      <c r="K308" s="11" t="s">
        <v>115</v>
      </c>
      <c r="L308" s="11" t="s">
        <v>120</v>
      </c>
      <c r="M308" s="11" t="s">
        <v>210</v>
      </c>
      <c r="N308" s="10"/>
      <c r="O308" s="11" t="str">
        <f aca="false">IF(N308="",IF(I308="Include","Include",J308),N308)</f>
        <v>Include</v>
      </c>
      <c r="P308" s="11" t="s">
        <v>1829</v>
      </c>
    </row>
    <row r="309" customFormat="false" ht="23.85" hidden="false" customHeight="false" outlineLevel="0" collapsed="false">
      <c r="A309" s="8" t="s">
        <v>1830</v>
      </c>
      <c r="B309" s="8" t="s">
        <v>44</v>
      </c>
      <c r="C309" s="9" t="s">
        <v>1831</v>
      </c>
      <c r="D309" s="8" t="n">
        <v>2026</v>
      </c>
      <c r="E309" s="8" t="s">
        <v>171</v>
      </c>
      <c r="F309" s="8" t="s">
        <v>1832</v>
      </c>
      <c r="G309" s="8" t="s">
        <v>560</v>
      </c>
      <c r="H309" s="13" t="s">
        <v>1833</v>
      </c>
      <c r="I309" s="8" t="s">
        <v>139</v>
      </c>
      <c r="J309" s="8" t="s">
        <v>85</v>
      </c>
      <c r="K309" s="8"/>
      <c r="L309" s="8"/>
      <c r="M309" s="8"/>
      <c r="N309" s="10"/>
      <c r="O309" s="11" t="str">
        <f aca="false">IF(N309="",IF(I309="Include","Include",J309),N309)</f>
        <v>EC6</v>
      </c>
      <c r="P309" s="11" t="s">
        <v>1834</v>
      </c>
    </row>
    <row r="310" customFormat="false" ht="23.85" hidden="false" customHeight="false" outlineLevel="0" collapsed="false">
      <c r="A310" s="8" t="s">
        <v>1835</v>
      </c>
      <c r="B310" s="8" t="s">
        <v>44</v>
      </c>
      <c r="C310" s="9" t="s">
        <v>1836</v>
      </c>
      <c r="D310" s="8" t="n">
        <v>2026</v>
      </c>
      <c r="E310" s="8" t="s">
        <v>143</v>
      </c>
      <c r="F310" s="8" t="s">
        <v>1837</v>
      </c>
      <c r="G310" s="8" t="s">
        <v>1838</v>
      </c>
      <c r="H310" s="13" t="s">
        <v>1839</v>
      </c>
      <c r="I310" s="8" t="s">
        <v>139</v>
      </c>
      <c r="J310" s="8" t="s">
        <v>87</v>
      </c>
      <c r="K310" s="8"/>
      <c r="L310" s="8"/>
      <c r="M310" s="8"/>
      <c r="N310" s="10"/>
      <c r="O310" s="11" t="str">
        <f aca="false">IF(N310="",IF(I310="Include","Include",J310),N310)</f>
        <v>EC7</v>
      </c>
      <c r="P310" s="11" t="s">
        <v>1840</v>
      </c>
    </row>
    <row r="311" customFormat="false" ht="23.85" hidden="false" customHeight="false" outlineLevel="0" collapsed="false">
      <c r="A311" s="11" t="s">
        <v>1841</v>
      </c>
      <c r="B311" s="11" t="s">
        <v>44</v>
      </c>
      <c r="C311" s="2" t="s">
        <v>1842</v>
      </c>
      <c r="D311" s="11" t="n">
        <v>2026</v>
      </c>
      <c r="E311" s="11" t="s">
        <v>143</v>
      </c>
      <c r="F311" s="11" t="s">
        <v>1843</v>
      </c>
      <c r="G311" s="11" t="s">
        <v>1844</v>
      </c>
      <c r="H311" s="12" t="s">
        <v>1845</v>
      </c>
      <c r="I311" s="11" t="s">
        <v>147</v>
      </c>
      <c r="J311" s="11"/>
      <c r="K311" s="11" t="s">
        <v>115</v>
      </c>
      <c r="L311" s="11" t="s">
        <v>118</v>
      </c>
      <c r="M311" s="11" t="s">
        <v>148</v>
      </c>
      <c r="N311" s="10"/>
      <c r="O311" s="11" t="str">
        <f aca="false">IF(N311="",IF(I311="Include","Include",J311),N311)</f>
        <v>Include</v>
      </c>
      <c r="P311" s="11" t="s">
        <v>1846</v>
      </c>
    </row>
    <row r="312" customFormat="false" ht="23.85" hidden="false" customHeight="false" outlineLevel="0" collapsed="false">
      <c r="A312" s="8" t="s">
        <v>1847</v>
      </c>
      <c r="B312" s="8" t="s">
        <v>44</v>
      </c>
      <c r="C312" s="9" t="s">
        <v>1848</v>
      </c>
      <c r="D312" s="8" t="n">
        <v>2026</v>
      </c>
      <c r="E312" s="8" t="s">
        <v>143</v>
      </c>
      <c r="F312" s="8" t="s">
        <v>1849</v>
      </c>
      <c r="G312" s="8" t="s">
        <v>1850</v>
      </c>
      <c r="H312" s="13" t="s">
        <v>1851</v>
      </c>
      <c r="I312" s="8" t="s">
        <v>139</v>
      </c>
      <c r="J312" s="8" t="s">
        <v>87</v>
      </c>
      <c r="K312" s="8"/>
      <c r="L312" s="8"/>
      <c r="M312" s="8"/>
      <c r="N312" s="10"/>
      <c r="O312" s="11" t="str">
        <f aca="false">IF(N312="",IF(I312="Include","Include",J312),N312)</f>
        <v>EC7</v>
      </c>
      <c r="P312" s="11" t="s">
        <v>1852</v>
      </c>
    </row>
    <row r="313" customFormat="false" ht="23.85" hidden="false" customHeight="false" outlineLevel="0" collapsed="false">
      <c r="A313" s="11" t="s">
        <v>1853</v>
      </c>
      <c r="B313" s="11" t="s">
        <v>44</v>
      </c>
      <c r="C313" s="2" t="s">
        <v>1854</v>
      </c>
      <c r="D313" s="11" t="n">
        <v>2023</v>
      </c>
      <c r="E313" s="11" t="s">
        <v>143</v>
      </c>
      <c r="F313" s="11" t="s">
        <v>1855</v>
      </c>
      <c r="G313" s="11" t="s">
        <v>1059</v>
      </c>
      <c r="H313" s="12" t="s">
        <v>1856</v>
      </c>
      <c r="I313" s="11" t="s">
        <v>147</v>
      </c>
      <c r="J313" s="11"/>
      <c r="K313" s="11" t="s">
        <v>115</v>
      </c>
      <c r="L313" s="11" t="s">
        <v>116</v>
      </c>
      <c r="M313" s="11" t="s">
        <v>148</v>
      </c>
      <c r="N313" s="10"/>
      <c r="O313" s="11" t="str">
        <f aca="false">IF(N313="",IF(I313="Include","Include",J313),N313)</f>
        <v>Include</v>
      </c>
      <c r="P313" s="11" t="s">
        <v>1857</v>
      </c>
    </row>
    <row r="314" customFormat="false" ht="23.85" hidden="false" customHeight="false" outlineLevel="0" collapsed="false">
      <c r="A314" s="11" t="s">
        <v>1858</v>
      </c>
      <c r="B314" s="11" t="s">
        <v>44</v>
      </c>
      <c r="C314" s="2" t="s">
        <v>1859</v>
      </c>
      <c r="D314" s="11" t="n">
        <v>2023</v>
      </c>
      <c r="E314" s="11" t="s">
        <v>143</v>
      </c>
      <c r="F314" s="11" t="s">
        <v>1860</v>
      </c>
      <c r="G314" s="11" t="s">
        <v>1861</v>
      </c>
      <c r="H314" s="12" t="s">
        <v>1862</v>
      </c>
      <c r="I314" s="11" t="s">
        <v>147</v>
      </c>
      <c r="J314" s="11"/>
      <c r="K314" s="11" t="s">
        <v>115</v>
      </c>
      <c r="L314" s="11" t="s">
        <v>118</v>
      </c>
      <c r="M314" s="11" t="s">
        <v>161</v>
      </c>
      <c r="N314" s="10"/>
      <c r="O314" s="11" t="str">
        <f aca="false">IF(N314="",IF(I314="Include","Include",J314),N314)</f>
        <v>Include</v>
      </c>
      <c r="P314" s="11" t="s">
        <v>1863</v>
      </c>
    </row>
    <row r="315" customFormat="false" ht="23.85" hidden="false" customHeight="false" outlineLevel="0" collapsed="false">
      <c r="A315" s="11" t="s">
        <v>1864</v>
      </c>
      <c r="B315" s="11" t="s">
        <v>44</v>
      </c>
      <c r="C315" s="2" t="s">
        <v>1865</v>
      </c>
      <c r="D315" s="11" t="n">
        <v>2026</v>
      </c>
      <c r="E315" s="11" t="s">
        <v>143</v>
      </c>
      <c r="F315" s="11" t="s">
        <v>1866</v>
      </c>
      <c r="G315" s="11" t="s">
        <v>1867</v>
      </c>
      <c r="H315" s="12" t="s">
        <v>1868</v>
      </c>
      <c r="I315" s="11" t="s">
        <v>147</v>
      </c>
      <c r="J315" s="11"/>
      <c r="K315" s="11" t="s">
        <v>115</v>
      </c>
      <c r="L315" s="11" t="s">
        <v>120</v>
      </c>
      <c r="M315" s="11" t="s">
        <v>148</v>
      </c>
      <c r="N315" s="10"/>
      <c r="O315" s="11" t="str">
        <f aca="false">IF(N315="",IF(I315="Include","Include",J315),N315)</f>
        <v>Include</v>
      </c>
      <c r="P315" s="11" t="s">
        <v>1869</v>
      </c>
    </row>
    <row r="316" customFormat="false" ht="23.85" hidden="false" customHeight="false" outlineLevel="0" collapsed="false">
      <c r="A316" s="8" t="s">
        <v>1870</v>
      </c>
      <c r="B316" s="8" t="s">
        <v>44</v>
      </c>
      <c r="C316" s="9" t="s">
        <v>1871</v>
      </c>
      <c r="D316" s="8" t="n">
        <v>2026</v>
      </c>
      <c r="E316" s="8" t="s">
        <v>143</v>
      </c>
      <c r="F316" s="8" t="s">
        <v>1872</v>
      </c>
      <c r="G316" s="8" t="s">
        <v>481</v>
      </c>
      <c r="H316" s="13" t="s">
        <v>1873</v>
      </c>
      <c r="I316" s="8" t="s">
        <v>139</v>
      </c>
      <c r="J316" s="8" t="s">
        <v>85</v>
      </c>
      <c r="K316" s="8"/>
      <c r="L316" s="8"/>
      <c r="M316" s="8"/>
      <c r="N316" s="10"/>
      <c r="O316" s="11" t="str">
        <f aca="false">IF(N316="",IF(I316="Include","Include",J316),N316)</f>
        <v>EC6</v>
      </c>
      <c r="P316" s="11" t="s">
        <v>1874</v>
      </c>
    </row>
    <row r="317" customFormat="false" ht="23.85" hidden="false" customHeight="false" outlineLevel="0" collapsed="false">
      <c r="A317" s="11" t="s">
        <v>1875</v>
      </c>
      <c r="B317" s="11" t="s">
        <v>44</v>
      </c>
      <c r="C317" s="2" t="s">
        <v>1876</v>
      </c>
      <c r="D317" s="11" t="n">
        <v>2025</v>
      </c>
      <c r="E317" s="11" t="s">
        <v>143</v>
      </c>
      <c r="F317" s="11" t="s">
        <v>1877</v>
      </c>
      <c r="G317" s="11" t="s">
        <v>1878</v>
      </c>
      <c r="H317" s="12" t="s">
        <v>1879</v>
      </c>
      <c r="I317" s="11" t="s">
        <v>147</v>
      </c>
      <c r="J317" s="11"/>
      <c r="K317" s="11" t="s">
        <v>115</v>
      </c>
      <c r="L317" s="11" t="s">
        <v>118</v>
      </c>
      <c r="M317" s="11" t="s">
        <v>161</v>
      </c>
      <c r="N317" s="10"/>
      <c r="O317" s="11" t="str">
        <f aca="false">IF(N317="",IF(I317="Include","Include",J317),N317)</f>
        <v>Include</v>
      </c>
      <c r="P317" s="11" t="s">
        <v>1880</v>
      </c>
    </row>
    <row r="318" customFormat="false" ht="23.85" hidden="false" customHeight="false" outlineLevel="0" collapsed="false">
      <c r="A318" s="8" t="s">
        <v>1881</v>
      </c>
      <c r="B318" s="8" t="s">
        <v>44</v>
      </c>
      <c r="C318" s="9" t="s">
        <v>1882</v>
      </c>
      <c r="D318" s="8" t="n">
        <v>2026</v>
      </c>
      <c r="E318" s="8" t="s">
        <v>143</v>
      </c>
      <c r="F318" s="8" t="s">
        <v>1883</v>
      </c>
      <c r="G318" s="8" t="s">
        <v>1884</v>
      </c>
      <c r="H318" s="13" t="s">
        <v>1885</v>
      </c>
      <c r="I318" s="8" t="s">
        <v>139</v>
      </c>
      <c r="J318" s="8" t="s">
        <v>89</v>
      </c>
      <c r="K318" s="8"/>
      <c r="L318" s="8"/>
      <c r="M318" s="8"/>
      <c r="N318" s="10"/>
      <c r="O318" s="11" t="str">
        <f aca="false">IF(N318="",IF(I318="Include","Include",J318),N318)</f>
        <v>EC8</v>
      </c>
      <c r="P318" s="11" t="s">
        <v>1886</v>
      </c>
    </row>
    <row r="319" customFormat="false" ht="23.85" hidden="false" customHeight="false" outlineLevel="0" collapsed="false">
      <c r="A319" s="11" t="s">
        <v>1887</v>
      </c>
      <c r="B319" s="11" t="s">
        <v>44</v>
      </c>
      <c r="C319" s="2" t="s">
        <v>1888</v>
      </c>
      <c r="D319" s="11" t="n">
        <v>2025</v>
      </c>
      <c r="E319" s="11" t="s">
        <v>143</v>
      </c>
      <c r="F319" s="11" t="s">
        <v>1889</v>
      </c>
      <c r="G319" s="11" t="s">
        <v>1890</v>
      </c>
      <c r="H319" s="12" t="s">
        <v>1891</v>
      </c>
      <c r="I319" s="11" t="s">
        <v>147</v>
      </c>
      <c r="J319" s="11"/>
      <c r="K319" s="11" t="s">
        <v>115</v>
      </c>
      <c r="L319" s="11" t="s">
        <v>118</v>
      </c>
      <c r="M319" s="11" t="s">
        <v>161</v>
      </c>
      <c r="N319" s="10"/>
      <c r="O319" s="11" t="str">
        <f aca="false">IF(N319="",IF(I319="Include","Include",J319),N319)</f>
        <v>Include</v>
      </c>
      <c r="P319" s="11" t="s">
        <v>1892</v>
      </c>
    </row>
    <row r="320" customFormat="false" ht="35.05" hidden="false" customHeight="false" outlineLevel="0" collapsed="false">
      <c r="A320" s="11" t="s">
        <v>1893</v>
      </c>
      <c r="B320" s="11" t="s">
        <v>44</v>
      </c>
      <c r="C320" s="2" t="s">
        <v>1894</v>
      </c>
      <c r="D320" s="11" t="n">
        <v>2021</v>
      </c>
      <c r="E320" s="11" t="s">
        <v>143</v>
      </c>
      <c r="F320" s="11" t="s">
        <v>1895</v>
      </c>
      <c r="G320" s="11" t="s">
        <v>1896</v>
      </c>
      <c r="H320" s="12" t="s">
        <v>1897</v>
      </c>
      <c r="I320" s="11" t="s">
        <v>147</v>
      </c>
      <c r="J320" s="11"/>
      <c r="K320" s="11" t="s">
        <v>115</v>
      </c>
      <c r="L320" s="11" t="s">
        <v>116</v>
      </c>
      <c r="M320" s="11" t="s">
        <v>210</v>
      </c>
      <c r="N320" s="10"/>
      <c r="O320" s="11" t="str">
        <f aca="false">IF(N320="",IF(I320="Include","Include",J320),N320)</f>
        <v>Include</v>
      </c>
      <c r="P320" s="11" t="s">
        <v>1898</v>
      </c>
    </row>
    <row r="321" customFormat="false" ht="23.85" hidden="false" customHeight="false" outlineLevel="0" collapsed="false">
      <c r="A321" s="8" t="s">
        <v>1899</v>
      </c>
      <c r="B321" s="8" t="s">
        <v>44</v>
      </c>
      <c r="C321" s="9" t="s">
        <v>1900</v>
      </c>
      <c r="D321" s="8" t="n">
        <v>2025</v>
      </c>
      <c r="E321" s="8" t="s">
        <v>171</v>
      </c>
      <c r="F321" s="8" t="s">
        <v>1901</v>
      </c>
      <c r="G321" s="8" t="s">
        <v>329</v>
      </c>
      <c r="H321" s="13" t="s">
        <v>1902</v>
      </c>
      <c r="I321" s="8" t="s">
        <v>139</v>
      </c>
      <c r="J321" s="8" t="s">
        <v>85</v>
      </c>
      <c r="K321" s="8"/>
      <c r="L321" s="8"/>
      <c r="M321" s="8"/>
      <c r="N321" s="10"/>
      <c r="O321" s="11" t="str">
        <f aca="false">IF(N321="",IF(I321="Include","Include",J321),N321)</f>
        <v>EC6</v>
      </c>
      <c r="P321" s="11" t="s">
        <v>1903</v>
      </c>
    </row>
    <row r="322" customFormat="false" ht="35.05" hidden="false" customHeight="false" outlineLevel="0" collapsed="false">
      <c r="A322" s="11" t="s">
        <v>1904</v>
      </c>
      <c r="B322" s="11" t="s">
        <v>44</v>
      </c>
      <c r="C322" s="2" t="s">
        <v>1905</v>
      </c>
      <c r="D322" s="11" t="n">
        <v>2026</v>
      </c>
      <c r="E322" s="11" t="s">
        <v>577</v>
      </c>
      <c r="F322" s="11" t="s">
        <v>1906</v>
      </c>
      <c r="G322" s="11" t="s">
        <v>1907</v>
      </c>
      <c r="H322" s="12" t="s">
        <v>1908</v>
      </c>
      <c r="I322" s="11" t="s">
        <v>147</v>
      </c>
      <c r="J322" s="11"/>
      <c r="K322" s="11" t="s">
        <v>115</v>
      </c>
      <c r="L322" s="11" t="s">
        <v>120</v>
      </c>
      <c r="M322" s="11" t="s">
        <v>161</v>
      </c>
      <c r="N322" s="10"/>
      <c r="O322" s="11" t="str">
        <f aca="false">IF(N322="",IF(I322="Include","Include",J322),N322)</f>
        <v>Include</v>
      </c>
      <c r="P322" s="11" t="s">
        <v>1909</v>
      </c>
    </row>
    <row r="323" customFormat="false" ht="15" hidden="false" customHeight="false" outlineLevel="0" collapsed="false">
      <c r="A323" s="8" t="s">
        <v>1910</v>
      </c>
      <c r="B323" s="8" t="s">
        <v>44</v>
      </c>
      <c r="C323" s="9" t="s">
        <v>1911</v>
      </c>
      <c r="D323" s="8" t="n">
        <v>2025</v>
      </c>
      <c r="E323" s="8" t="s">
        <v>171</v>
      </c>
      <c r="F323" s="8" t="s">
        <v>1912</v>
      </c>
      <c r="G323" s="8" t="s">
        <v>459</v>
      </c>
      <c r="H323" s="13" t="s">
        <v>1913</v>
      </c>
      <c r="I323" s="8" t="s">
        <v>139</v>
      </c>
      <c r="J323" s="8" t="s">
        <v>85</v>
      </c>
      <c r="K323" s="8"/>
      <c r="L323" s="8"/>
      <c r="M323" s="8"/>
      <c r="N323" s="10"/>
      <c r="O323" s="11" t="str">
        <f aca="false">IF(N323="",IF(I323="Include","Include",J323),N323)</f>
        <v>EC6</v>
      </c>
      <c r="P323" s="11" t="s">
        <v>1914</v>
      </c>
    </row>
    <row r="324" customFormat="false" ht="23.85" hidden="false" customHeight="false" outlineLevel="0" collapsed="false">
      <c r="A324" s="11" t="s">
        <v>1915</v>
      </c>
      <c r="B324" s="11" t="s">
        <v>44</v>
      </c>
      <c r="C324" s="2" t="s">
        <v>1916</v>
      </c>
      <c r="D324" s="11" t="n">
        <v>2025</v>
      </c>
      <c r="E324" s="11" t="s">
        <v>143</v>
      </c>
      <c r="F324" s="11" t="s">
        <v>1917</v>
      </c>
      <c r="G324" s="11" t="s">
        <v>1918</v>
      </c>
      <c r="H324" s="12" t="s">
        <v>1919</v>
      </c>
      <c r="I324" s="11" t="s">
        <v>147</v>
      </c>
      <c r="J324" s="11"/>
      <c r="K324" s="11" t="s">
        <v>115</v>
      </c>
      <c r="L324" s="11" t="s">
        <v>118</v>
      </c>
      <c r="M324" s="11" t="s">
        <v>210</v>
      </c>
      <c r="N324" s="10"/>
      <c r="O324" s="11" t="str">
        <f aca="false">IF(N324="",IF(I324="Include","Include",J324),N324)</f>
        <v>Include</v>
      </c>
      <c r="P324" s="11" t="s">
        <v>1920</v>
      </c>
    </row>
    <row r="325" customFormat="false" ht="23.85" hidden="false" customHeight="false" outlineLevel="0" collapsed="false">
      <c r="A325" s="11" t="s">
        <v>1921</v>
      </c>
      <c r="B325" s="11" t="s">
        <v>44</v>
      </c>
      <c r="C325" s="2" t="s">
        <v>1922</v>
      </c>
      <c r="D325" s="11" t="n">
        <v>2024</v>
      </c>
      <c r="E325" s="11" t="s">
        <v>143</v>
      </c>
      <c r="F325" s="11" t="s">
        <v>1923</v>
      </c>
      <c r="G325" s="11" t="s">
        <v>1924</v>
      </c>
      <c r="H325" s="12" t="s">
        <v>1925</v>
      </c>
      <c r="I325" s="11" t="s">
        <v>147</v>
      </c>
      <c r="J325" s="11"/>
      <c r="K325" s="11" t="s">
        <v>115</v>
      </c>
      <c r="L325" s="11" t="s">
        <v>118</v>
      </c>
      <c r="M325" s="11" t="s">
        <v>148</v>
      </c>
      <c r="N325" s="10"/>
      <c r="O325" s="11" t="str">
        <f aca="false">IF(N325="",IF(I325="Include","Include",J325),N325)</f>
        <v>Include</v>
      </c>
      <c r="P325" s="11" t="s">
        <v>1926</v>
      </c>
    </row>
    <row r="326" customFormat="false" ht="35.05" hidden="false" customHeight="false" outlineLevel="0" collapsed="false">
      <c r="A326" s="8" t="s">
        <v>1927</v>
      </c>
      <c r="B326" s="8" t="s">
        <v>44</v>
      </c>
      <c r="C326" s="9" t="s">
        <v>1928</v>
      </c>
      <c r="D326" s="8" t="n">
        <v>2024</v>
      </c>
      <c r="E326" s="8" t="s">
        <v>171</v>
      </c>
      <c r="F326" s="8" t="s">
        <v>1929</v>
      </c>
      <c r="G326" s="8" t="s">
        <v>1930</v>
      </c>
      <c r="H326" s="13" t="s">
        <v>1931</v>
      </c>
      <c r="I326" s="8" t="s">
        <v>139</v>
      </c>
      <c r="J326" s="8" t="s">
        <v>85</v>
      </c>
      <c r="K326" s="8"/>
      <c r="L326" s="8"/>
      <c r="M326" s="8"/>
      <c r="N326" s="10"/>
      <c r="O326" s="11" t="str">
        <f aca="false">IF(N326="",IF(I326="Include","Include",J326),N326)</f>
        <v>EC6</v>
      </c>
      <c r="P326" s="11" t="s">
        <v>1932</v>
      </c>
    </row>
    <row r="327" customFormat="false" ht="23.85" hidden="false" customHeight="false" outlineLevel="0" collapsed="false">
      <c r="A327" s="8" t="s">
        <v>1933</v>
      </c>
      <c r="B327" s="8" t="s">
        <v>44</v>
      </c>
      <c r="C327" s="9" t="s">
        <v>1934</v>
      </c>
      <c r="D327" s="8" t="n">
        <v>2025</v>
      </c>
      <c r="E327" s="8" t="s">
        <v>171</v>
      </c>
      <c r="F327" s="8" t="s">
        <v>1935</v>
      </c>
      <c r="G327" s="8" t="s">
        <v>1936</v>
      </c>
      <c r="H327" s="13" t="s">
        <v>1937</v>
      </c>
      <c r="I327" s="8" t="s">
        <v>139</v>
      </c>
      <c r="J327" s="8" t="s">
        <v>79</v>
      </c>
      <c r="K327" s="8"/>
      <c r="L327" s="8"/>
      <c r="M327" s="8"/>
      <c r="N327" s="10"/>
      <c r="O327" s="11" t="str">
        <f aca="false">IF(N327="",IF(I327="Include","Include",J327),N327)</f>
        <v>EC3</v>
      </c>
      <c r="P327" s="11" t="s">
        <v>1938</v>
      </c>
    </row>
    <row r="328" customFormat="false" ht="23.85" hidden="false" customHeight="false" outlineLevel="0" collapsed="false">
      <c r="A328" s="11" t="s">
        <v>1939</v>
      </c>
      <c r="B328" s="11" t="s">
        <v>44</v>
      </c>
      <c r="C328" s="2" t="s">
        <v>1940</v>
      </c>
      <c r="D328" s="11" t="n">
        <v>2018</v>
      </c>
      <c r="E328" s="11" t="s">
        <v>143</v>
      </c>
      <c r="F328" s="11" t="s">
        <v>1941</v>
      </c>
      <c r="G328" s="11" t="s">
        <v>1942</v>
      </c>
      <c r="H328" s="12" t="s">
        <v>1943</v>
      </c>
      <c r="I328" s="11" t="s">
        <v>147</v>
      </c>
      <c r="J328" s="11"/>
      <c r="K328" s="11" t="s">
        <v>115</v>
      </c>
      <c r="L328" s="11" t="s">
        <v>120</v>
      </c>
      <c r="M328" s="11" t="s">
        <v>210</v>
      </c>
      <c r="N328" s="10"/>
      <c r="O328" s="11" t="str">
        <f aca="false">IF(N328="",IF(I328="Include","Include",J328),N328)</f>
        <v>Include</v>
      </c>
      <c r="P328" s="11" t="s">
        <v>1944</v>
      </c>
    </row>
    <row r="329" customFormat="false" ht="23.85" hidden="false" customHeight="false" outlineLevel="0" collapsed="false">
      <c r="A329" s="8" t="s">
        <v>1945</v>
      </c>
      <c r="B329" s="8" t="s">
        <v>44</v>
      </c>
      <c r="C329" s="9" t="s">
        <v>1946</v>
      </c>
      <c r="D329" s="8" t="n">
        <v>2025</v>
      </c>
      <c r="E329" s="8" t="s">
        <v>171</v>
      </c>
      <c r="F329" s="8" t="s">
        <v>1947</v>
      </c>
      <c r="G329" s="8" t="s">
        <v>237</v>
      </c>
      <c r="H329" s="13" t="s">
        <v>1948</v>
      </c>
      <c r="I329" s="8" t="s">
        <v>139</v>
      </c>
      <c r="J329" s="8" t="s">
        <v>85</v>
      </c>
      <c r="K329" s="8"/>
      <c r="L329" s="8"/>
      <c r="M329" s="8"/>
      <c r="N329" s="10"/>
      <c r="O329" s="11" t="str">
        <f aca="false">IF(N329="",IF(I329="Include","Include",J329),N329)</f>
        <v>EC6</v>
      </c>
      <c r="P329" s="11" t="s">
        <v>1949</v>
      </c>
    </row>
    <row r="330" customFormat="false" ht="23.85" hidden="false" customHeight="false" outlineLevel="0" collapsed="false">
      <c r="A330" s="11" t="s">
        <v>1950</v>
      </c>
      <c r="B330" s="11" t="s">
        <v>44</v>
      </c>
      <c r="C330" s="2" t="s">
        <v>1951</v>
      </c>
      <c r="D330" s="11" t="n">
        <v>2025</v>
      </c>
      <c r="E330" s="11" t="s">
        <v>143</v>
      </c>
      <c r="F330" s="11" t="s">
        <v>1952</v>
      </c>
      <c r="G330" s="11" t="s">
        <v>1953</v>
      </c>
      <c r="H330" s="12" t="s">
        <v>1954</v>
      </c>
      <c r="I330" s="11" t="s">
        <v>147</v>
      </c>
      <c r="J330" s="11"/>
      <c r="K330" s="11" t="s">
        <v>115</v>
      </c>
      <c r="L330" s="11" t="s">
        <v>118</v>
      </c>
      <c r="M330" s="11" t="s">
        <v>210</v>
      </c>
      <c r="N330" s="10"/>
      <c r="O330" s="11" t="str">
        <f aca="false">IF(N330="",IF(I330="Include","Include",J330),N330)</f>
        <v>Include</v>
      </c>
      <c r="P330" s="11" t="s">
        <v>1955</v>
      </c>
    </row>
    <row r="331" customFormat="false" ht="15" hidden="false" customHeight="false" outlineLevel="0" collapsed="false">
      <c r="A331" s="8" t="s">
        <v>1956</v>
      </c>
      <c r="B331" s="8" t="s">
        <v>44</v>
      </c>
      <c r="C331" s="9" t="s">
        <v>1957</v>
      </c>
      <c r="D331" s="8" t="n">
        <v>2020</v>
      </c>
      <c r="E331" s="8" t="s">
        <v>143</v>
      </c>
      <c r="F331" s="8" t="s">
        <v>1958</v>
      </c>
      <c r="G331" s="8" t="s">
        <v>1959</v>
      </c>
      <c r="H331" s="13" t="s">
        <v>1960</v>
      </c>
      <c r="I331" s="8" t="s">
        <v>139</v>
      </c>
      <c r="J331" s="8" t="s">
        <v>75</v>
      </c>
      <c r="K331" s="8"/>
      <c r="L331" s="8"/>
      <c r="M331" s="8"/>
      <c r="N331" s="10"/>
      <c r="O331" s="11" t="str">
        <f aca="false">IF(N331="",IF(I331="Include","Include",J331),N331)</f>
        <v>EC1</v>
      </c>
      <c r="P331" s="11" t="s">
        <v>1961</v>
      </c>
    </row>
    <row r="332" customFormat="false" ht="23.85" hidden="false" customHeight="false" outlineLevel="0" collapsed="false">
      <c r="A332" s="11" t="s">
        <v>1962</v>
      </c>
      <c r="B332" s="11" t="s">
        <v>44</v>
      </c>
      <c r="C332" s="2" t="s">
        <v>1963</v>
      </c>
      <c r="D332" s="11" t="n">
        <v>2025</v>
      </c>
      <c r="E332" s="11" t="s">
        <v>143</v>
      </c>
      <c r="F332" s="11" t="s">
        <v>1964</v>
      </c>
      <c r="G332" s="11" t="s">
        <v>1965</v>
      </c>
      <c r="H332" s="12" t="s">
        <v>1966</v>
      </c>
      <c r="I332" s="11" t="s">
        <v>147</v>
      </c>
      <c r="J332" s="11"/>
      <c r="K332" s="11" t="s">
        <v>115</v>
      </c>
      <c r="L332" s="11" t="s">
        <v>116</v>
      </c>
      <c r="M332" s="11" t="s">
        <v>210</v>
      </c>
      <c r="N332" s="10"/>
      <c r="O332" s="11" t="str">
        <f aca="false">IF(N332="",IF(I332="Include","Include",J332),N332)</f>
        <v>Include</v>
      </c>
      <c r="P332" s="11" t="s">
        <v>1967</v>
      </c>
    </row>
    <row r="333" customFormat="false" ht="35.05" hidden="false" customHeight="false" outlineLevel="0" collapsed="false">
      <c r="A333" s="11" t="s">
        <v>1968</v>
      </c>
      <c r="B333" s="11" t="s">
        <v>44</v>
      </c>
      <c r="C333" s="2" t="s">
        <v>1969</v>
      </c>
      <c r="D333" s="11" t="n">
        <v>2026</v>
      </c>
      <c r="E333" s="11" t="s">
        <v>171</v>
      </c>
      <c r="F333" s="11" t="s">
        <v>1970</v>
      </c>
      <c r="G333" s="11" t="s">
        <v>1971</v>
      </c>
      <c r="H333" s="12" t="s">
        <v>1972</v>
      </c>
      <c r="I333" s="11" t="s">
        <v>147</v>
      </c>
      <c r="J333" s="11"/>
      <c r="K333" s="11" t="s">
        <v>115</v>
      </c>
      <c r="L333" s="11" t="s">
        <v>116</v>
      </c>
      <c r="M333" s="11" t="s">
        <v>148</v>
      </c>
      <c r="N333" s="10"/>
      <c r="O333" s="11" t="str">
        <f aca="false">IF(N333="",IF(I333="Include","Include",J333),N333)</f>
        <v>Include</v>
      </c>
      <c r="P333" s="11" t="s">
        <v>1973</v>
      </c>
    </row>
    <row r="334" customFormat="false" ht="35.05" hidden="false" customHeight="false" outlineLevel="0" collapsed="false">
      <c r="A334" s="11" t="s">
        <v>1974</v>
      </c>
      <c r="B334" s="11" t="s">
        <v>44</v>
      </c>
      <c r="C334" s="2" t="s">
        <v>1975</v>
      </c>
      <c r="D334" s="11" t="n">
        <v>2019</v>
      </c>
      <c r="E334" s="11" t="s">
        <v>171</v>
      </c>
      <c r="F334" s="11" t="s">
        <v>1976</v>
      </c>
      <c r="G334" s="11" t="s">
        <v>1462</v>
      </c>
      <c r="H334" s="12" t="s">
        <v>1977</v>
      </c>
      <c r="I334" s="11" t="s">
        <v>147</v>
      </c>
      <c r="J334" s="11"/>
      <c r="K334" s="11" t="s">
        <v>115</v>
      </c>
      <c r="L334" s="11" t="s">
        <v>118</v>
      </c>
      <c r="M334" s="11" t="s">
        <v>210</v>
      </c>
      <c r="N334" s="10"/>
      <c r="O334" s="11" t="str">
        <f aca="false">IF(N334="",IF(I334="Include","Include",J334),N334)</f>
        <v>Include</v>
      </c>
      <c r="P334" s="11" t="s">
        <v>1978</v>
      </c>
    </row>
    <row r="335" customFormat="false" ht="23.85" hidden="false" customHeight="false" outlineLevel="0" collapsed="false">
      <c r="A335" s="11" t="s">
        <v>1979</v>
      </c>
      <c r="B335" s="11" t="s">
        <v>44</v>
      </c>
      <c r="C335" s="2" t="s">
        <v>1980</v>
      </c>
      <c r="D335" s="11" t="n">
        <v>2026</v>
      </c>
      <c r="E335" s="11" t="s">
        <v>143</v>
      </c>
      <c r="F335" s="11" t="s">
        <v>1981</v>
      </c>
      <c r="G335" s="11" t="s">
        <v>1982</v>
      </c>
      <c r="H335" s="12" t="s">
        <v>1983</v>
      </c>
      <c r="I335" s="11" t="s">
        <v>147</v>
      </c>
      <c r="J335" s="11"/>
      <c r="K335" s="11" t="s">
        <v>115</v>
      </c>
      <c r="L335" s="11" t="s">
        <v>116</v>
      </c>
      <c r="M335" s="11" t="s">
        <v>161</v>
      </c>
      <c r="N335" s="10"/>
      <c r="O335" s="11" t="str">
        <f aca="false">IF(N335="",IF(I335="Include","Include",J335),N335)</f>
        <v>Include</v>
      </c>
      <c r="P335" s="11" t="s">
        <v>1984</v>
      </c>
    </row>
    <row r="336" customFormat="false" ht="23.85" hidden="false" customHeight="false" outlineLevel="0" collapsed="false">
      <c r="A336" s="8" t="s">
        <v>1985</v>
      </c>
      <c r="B336" s="8" t="s">
        <v>44</v>
      </c>
      <c r="C336" s="9" t="s">
        <v>1986</v>
      </c>
      <c r="D336" s="8" t="n">
        <v>2026</v>
      </c>
      <c r="E336" s="8" t="s">
        <v>143</v>
      </c>
      <c r="F336" s="8" t="s">
        <v>1987</v>
      </c>
      <c r="G336" s="8" t="s">
        <v>1988</v>
      </c>
      <c r="H336" s="13" t="s">
        <v>1989</v>
      </c>
      <c r="I336" s="8" t="s">
        <v>139</v>
      </c>
      <c r="J336" s="8" t="s">
        <v>85</v>
      </c>
      <c r="K336" s="8"/>
      <c r="L336" s="8"/>
      <c r="M336" s="8"/>
      <c r="N336" s="10"/>
      <c r="O336" s="11" t="str">
        <f aca="false">IF(N336="",IF(I336="Include","Include",J336),N336)</f>
        <v>EC6</v>
      </c>
      <c r="P336" s="11" t="s">
        <v>1990</v>
      </c>
    </row>
    <row r="337" customFormat="false" ht="23.85" hidden="false" customHeight="false" outlineLevel="0" collapsed="false">
      <c r="A337" s="8" t="s">
        <v>1991</v>
      </c>
      <c r="B337" s="8" t="s">
        <v>44</v>
      </c>
      <c r="C337" s="9" t="s">
        <v>1992</v>
      </c>
      <c r="D337" s="8" t="n">
        <v>2026</v>
      </c>
      <c r="E337" s="8" t="s">
        <v>143</v>
      </c>
      <c r="F337" s="8" t="s">
        <v>1993</v>
      </c>
      <c r="G337" s="8" t="s">
        <v>1994</v>
      </c>
      <c r="H337" s="13" t="s">
        <v>1995</v>
      </c>
      <c r="I337" s="8" t="s">
        <v>139</v>
      </c>
      <c r="J337" s="8" t="s">
        <v>85</v>
      </c>
      <c r="K337" s="8"/>
      <c r="L337" s="8"/>
      <c r="M337" s="8"/>
      <c r="N337" s="10"/>
      <c r="O337" s="11" t="str">
        <f aca="false">IF(N337="",IF(I337="Include","Include",J337),N337)</f>
        <v>EC6</v>
      </c>
      <c r="P337" s="11" t="s">
        <v>1996</v>
      </c>
    </row>
    <row r="338" customFormat="false" ht="23.85" hidden="false" customHeight="false" outlineLevel="0" collapsed="false">
      <c r="A338" s="8" t="s">
        <v>1997</v>
      </c>
      <c r="B338" s="8" t="s">
        <v>44</v>
      </c>
      <c r="C338" s="9" t="s">
        <v>1998</v>
      </c>
      <c r="D338" s="8" t="n">
        <v>2024</v>
      </c>
      <c r="E338" s="8" t="s">
        <v>171</v>
      </c>
      <c r="F338" s="8" t="s">
        <v>1999</v>
      </c>
      <c r="G338" s="8" t="s">
        <v>2000</v>
      </c>
      <c r="H338" s="13" t="s">
        <v>2001</v>
      </c>
      <c r="I338" s="8" t="s">
        <v>139</v>
      </c>
      <c r="J338" s="8" t="s">
        <v>87</v>
      </c>
      <c r="K338" s="8"/>
      <c r="L338" s="8"/>
      <c r="M338" s="8"/>
      <c r="N338" s="10"/>
      <c r="O338" s="11" t="str">
        <f aca="false">IF(N338="",IF(I338="Include","Include",J338),N338)</f>
        <v>EC7</v>
      </c>
      <c r="P338" s="11" t="s">
        <v>2002</v>
      </c>
    </row>
    <row r="339" customFormat="false" ht="23.85" hidden="false" customHeight="false" outlineLevel="0" collapsed="false">
      <c r="A339" s="8" t="s">
        <v>2003</v>
      </c>
      <c r="B339" s="8" t="s">
        <v>44</v>
      </c>
      <c r="C339" s="9" t="s">
        <v>2004</v>
      </c>
      <c r="D339" s="8" t="n">
        <v>2026</v>
      </c>
      <c r="E339" s="8" t="s">
        <v>143</v>
      </c>
      <c r="F339" s="8" t="s">
        <v>2005</v>
      </c>
      <c r="G339" s="8" t="s">
        <v>2006</v>
      </c>
      <c r="H339" s="13" t="s">
        <v>2007</v>
      </c>
      <c r="I339" s="8" t="s">
        <v>139</v>
      </c>
      <c r="J339" s="8" t="s">
        <v>85</v>
      </c>
      <c r="K339" s="8"/>
      <c r="L339" s="8"/>
      <c r="M339" s="8"/>
      <c r="N339" s="10"/>
      <c r="O339" s="11" t="str">
        <f aca="false">IF(N339="",IF(I339="Include","Include",J339),N339)</f>
        <v>EC6</v>
      </c>
      <c r="P339" s="11" t="s">
        <v>2008</v>
      </c>
    </row>
    <row r="340" customFormat="false" ht="23.85" hidden="false" customHeight="false" outlineLevel="0" collapsed="false">
      <c r="A340" s="8" t="s">
        <v>2009</v>
      </c>
      <c r="B340" s="8" t="s">
        <v>44</v>
      </c>
      <c r="C340" s="9" t="s">
        <v>2010</v>
      </c>
      <c r="D340" s="8" t="n">
        <v>2024</v>
      </c>
      <c r="E340" s="8" t="s">
        <v>143</v>
      </c>
      <c r="F340" s="8" t="s">
        <v>2011</v>
      </c>
      <c r="G340" s="8" t="s">
        <v>2012</v>
      </c>
      <c r="H340" s="13" t="s">
        <v>2013</v>
      </c>
      <c r="I340" s="8" t="s">
        <v>139</v>
      </c>
      <c r="J340" s="8" t="s">
        <v>85</v>
      </c>
      <c r="K340" s="8"/>
      <c r="L340" s="8"/>
      <c r="M340" s="8"/>
      <c r="N340" s="10"/>
      <c r="O340" s="11" t="str">
        <f aca="false">IF(N340="",IF(I340="Include","Include",J340),N340)</f>
        <v>EC6</v>
      </c>
      <c r="P340" s="11" t="s">
        <v>2014</v>
      </c>
    </row>
    <row r="341" customFormat="false" ht="23.85" hidden="false" customHeight="false" outlineLevel="0" collapsed="false">
      <c r="A341" s="11" t="s">
        <v>2015</v>
      </c>
      <c r="B341" s="11" t="s">
        <v>44</v>
      </c>
      <c r="C341" s="2" t="s">
        <v>2016</v>
      </c>
      <c r="D341" s="11" t="n">
        <v>2025</v>
      </c>
      <c r="E341" s="11" t="s">
        <v>171</v>
      </c>
      <c r="F341" s="11" t="s">
        <v>2017</v>
      </c>
      <c r="G341" s="11" t="s">
        <v>2018</v>
      </c>
      <c r="H341" s="12" t="s">
        <v>2019</v>
      </c>
      <c r="I341" s="11" t="s">
        <v>147</v>
      </c>
      <c r="J341" s="11"/>
      <c r="K341" s="11" t="s">
        <v>115</v>
      </c>
      <c r="L341" s="11" t="s">
        <v>118</v>
      </c>
      <c r="M341" s="11" t="s">
        <v>161</v>
      </c>
      <c r="N341" s="10"/>
      <c r="O341" s="11" t="str">
        <f aca="false">IF(N341="",IF(I341="Include","Include",J341),N341)</f>
        <v>Include</v>
      </c>
      <c r="P341" s="11" t="s">
        <v>2020</v>
      </c>
    </row>
    <row r="342" customFormat="false" ht="23.85" hidden="false" customHeight="false" outlineLevel="0" collapsed="false">
      <c r="A342" s="11" t="s">
        <v>2021</v>
      </c>
      <c r="B342" s="11" t="s">
        <v>44</v>
      </c>
      <c r="C342" s="2" t="s">
        <v>2022</v>
      </c>
      <c r="D342" s="11" t="n">
        <v>2024</v>
      </c>
      <c r="E342" s="11" t="s">
        <v>171</v>
      </c>
      <c r="F342" s="11" t="s">
        <v>2023</v>
      </c>
      <c r="G342" s="11" t="s">
        <v>459</v>
      </c>
      <c r="H342" s="12" t="s">
        <v>2024</v>
      </c>
      <c r="I342" s="11" t="s">
        <v>147</v>
      </c>
      <c r="J342" s="11"/>
      <c r="K342" s="11" t="s">
        <v>115</v>
      </c>
      <c r="L342" s="11" t="s">
        <v>120</v>
      </c>
      <c r="M342" s="11" t="s">
        <v>148</v>
      </c>
      <c r="N342" s="10"/>
      <c r="O342" s="11" t="str">
        <f aca="false">IF(N342="",IF(I342="Include","Include",J342),N342)</f>
        <v>Include</v>
      </c>
      <c r="P342" s="11" t="s">
        <v>2025</v>
      </c>
    </row>
    <row r="343" customFormat="false" ht="23.85" hidden="false" customHeight="false" outlineLevel="0" collapsed="false">
      <c r="A343" s="8" t="s">
        <v>2026</v>
      </c>
      <c r="B343" s="8" t="s">
        <v>44</v>
      </c>
      <c r="C343" s="9" t="s">
        <v>2027</v>
      </c>
      <c r="D343" s="8" t="n">
        <v>2026</v>
      </c>
      <c r="E343" s="8" t="s">
        <v>171</v>
      </c>
      <c r="F343" s="8" t="s">
        <v>2028</v>
      </c>
      <c r="G343" s="8" t="s">
        <v>387</v>
      </c>
      <c r="H343" s="13" t="s">
        <v>2029</v>
      </c>
      <c r="I343" s="8" t="s">
        <v>139</v>
      </c>
      <c r="J343" s="8" t="s">
        <v>85</v>
      </c>
      <c r="K343" s="8"/>
      <c r="L343" s="8"/>
      <c r="M343" s="8"/>
      <c r="N343" s="10"/>
      <c r="O343" s="11" t="str">
        <f aca="false">IF(N343="",IF(I343="Include","Include",J343),N343)</f>
        <v>EC6</v>
      </c>
      <c r="P343" s="11" t="s">
        <v>2030</v>
      </c>
    </row>
    <row r="344" customFormat="false" ht="23.85" hidden="false" customHeight="false" outlineLevel="0" collapsed="false">
      <c r="A344" s="8" t="s">
        <v>2031</v>
      </c>
      <c r="B344" s="8" t="s">
        <v>44</v>
      </c>
      <c r="C344" s="9" t="s">
        <v>2032</v>
      </c>
      <c r="D344" s="8" t="n">
        <v>2026</v>
      </c>
      <c r="E344" s="8" t="s">
        <v>171</v>
      </c>
      <c r="F344" s="8" t="s">
        <v>2033</v>
      </c>
      <c r="G344" s="8" t="s">
        <v>2034</v>
      </c>
      <c r="H344" s="13" t="s">
        <v>2035</v>
      </c>
      <c r="I344" s="8" t="s">
        <v>139</v>
      </c>
      <c r="J344" s="8" t="s">
        <v>85</v>
      </c>
      <c r="K344" s="8"/>
      <c r="L344" s="8"/>
      <c r="M344" s="8"/>
      <c r="N344" s="10"/>
      <c r="O344" s="11" t="str">
        <f aca="false">IF(N344="",IF(I344="Include","Include",J344),N344)</f>
        <v>EC6</v>
      </c>
      <c r="P344" s="11" t="s">
        <v>2036</v>
      </c>
    </row>
    <row r="345" customFormat="false" ht="23.85" hidden="false" customHeight="false" outlineLevel="0" collapsed="false">
      <c r="A345" s="8" t="s">
        <v>2037</v>
      </c>
      <c r="B345" s="8" t="s">
        <v>44</v>
      </c>
      <c r="C345" s="9" t="s">
        <v>2038</v>
      </c>
      <c r="D345" s="8" t="n">
        <v>2026</v>
      </c>
      <c r="E345" s="8" t="s">
        <v>143</v>
      </c>
      <c r="F345" s="8" t="s">
        <v>2039</v>
      </c>
      <c r="G345" s="8" t="s">
        <v>2040</v>
      </c>
      <c r="H345" s="13" t="s">
        <v>2041</v>
      </c>
      <c r="I345" s="8" t="s">
        <v>139</v>
      </c>
      <c r="J345" s="8" t="s">
        <v>85</v>
      </c>
      <c r="K345" s="8"/>
      <c r="L345" s="8"/>
      <c r="M345" s="8"/>
      <c r="N345" s="10"/>
      <c r="O345" s="11" t="str">
        <f aca="false">IF(N345="",IF(I345="Include","Include",J345),N345)</f>
        <v>EC6</v>
      </c>
      <c r="P345" s="11" t="s">
        <v>2042</v>
      </c>
    </row>
    <row r="346" customFormat="false" ht="23.85" hidden="false" customHeight="false" outlineLevel="0" collapsed="false">
      <c r="A346" s="8" t="s">
        <v>2043</v>
      </c>
      <c r="B346" s="8" t="s">
        <v>44</v>
      </c>
      <c r="C346" s="9" t="s">
        <v>2044</v>
      </c>
      <c r="D346" s="8" t="n">
        <v>2026</v>
      </c>
      <c r="E346" s="8" t="s">
        <v>171</v>
      </c>
      <c r="F346" s="8" t="s">
        <v>2045</v>
      </c>
      <c r="G346" s="8" t="s">
        <v>2046</v>
      </c>
      <c r="H346" s="13" t="s">
        <v>2047</v>
      </c>
      <c r="I346" s="8" t="s">
        <v>139</v>
      </c>
      <c r="J346" s="8" t="s">
        <v>85</v>
      </c>
      <c r="K346" s="8"/>
      <c r="L346" s="8"/>
      <c r="M346" s="8"/>
      <c r="N346" s="10"/>
      <c r="O346" s="11" t="str">
        <f aca="false">IF(N346="",IF(I346="Include","Include",J346),N346)</f>
        <v>EC6</v>
      </c>
      <c r="P346" s="11" t="s">
        <v>2048</v>
      </c>
    </row>
    <row r="347" customFormat="false" ht="23.85" hidden="false" customHeight="false" outlineLevel="0" collapsed="false">
      <c r="A347" s="8" t="s">
        <v>2049</v>
      </c>
      <c r="B347" s="8" t="s">
        <v>44</v>
      </c>
      <c r="C347" s="9" t="s">
        <v>2050</v>
      </c>
      <c r="D347" s="8" t="n">
        <v>2025</v>
      </c>
      <c r="E347" s="8" t="s">
        <v>143</v>
      </c>
      <c r="F347" s="8" t="s">
        <v>2051</v>
      </c>
      <c r="G347" s="8" t="s">
        <v>2052</v>
      </c>
      <c r="H347" s="13" t="s">
        <v>2053</v>
      </c>
      <c r="I347" s="8" t="s">
        <v>139</v>
      </c>
      <c r="J347" s="8" t="s">
        <v>87</v>
      </c>
      <c r="K347" s="8"/>
      <c r="L347" s="8"/>
      <c r="M347" s="8"/>
      <c r="N347" s="10"/>
      <c r="O347" s="11" t="str">
        <f aca="false">IF(N347="",IF(I347="Include","Include",J347),N347)</f>
        <v>EC7</v>
      </c>
      <c r="P347" s="11" t="s">
        <v>2054</v>
      </c>
    </row>
    <row r="348" customFormat="false" ht="23.85" hidden="false" customHeight="false" outlineLevel="0" collapsed="false">
      <c r="A348" s="11" t="s">
        <v>2055</v>
      </c>
      <c r="B348" s="11" t="s">
        <v>44</v>
      </c>
      <c r="C348" s="2" t="s">
        <v>2056</v>
      </c>
      <c r="D348" s="11" t="n">
        <v>2021</v>
      </c>
      <c r="E348" s="11" t="s">
        <v>171</v>
      </c>
      <c r="F348" s="11" t="s">
        <v>2057</v>
      </c>
      <c r="G348" s="11" t="s">
        <v>243</v>
      </c>
      <c r="H348" s="12" t="s">
        <v>2058</v>
      </c>
      <c r="I348" s="11" t="s">
        <v>147</v>
      </c>
      <c r="J348" s="11"/>
      <c r="K348" s="11" t="s">
        <v>115</v>
      </c>
      <c r="L348" s="11" t="s">
        <v>120</v>
      </c>
      <c r="M348" s="11" t="s">
        <v>161</v>
      </c>
      <c r="N348" s="10"/>
      <c r="O348" s="11" t="str">
        <f aca="false">IF(N348="",IF(I348="Include","Include",J348),N348)</f>
        <v>Include</v>
      </c>
      <c r="P348" s="11" t="s">
        <v>2059</v>
      </c>
    </row>
    <row r="349" customFormat="false" ht="23.85" hidden="false" customHeight="false" outlineLevel="0" collapsed="false">
      <c r="A349" s="11" t="s">
        <v>2060</v>
      </c>
      <c r="B349" s="11" t="s">
        <v>44</v>
      </c>
      <c r="C349" s="2" t="s">
        <v>2061</v>
      </c>
      <c r="D349" s="11" t="n">
        <v>2024</v>
      </c>
      <c r="E349" s="11" t="s">
        <v>171</v>
      </c>
      <c r="F349" s="11" t="s">
        <v>2062</v>
      </c>
      <c r="G349" s="11" t="s">
        <v>746</v>
      </c>
      <c r="H349" s="12" t="s">
        <v>2063</v>
      </c>
      <c r="I349" s="11" t="s">
        <v>147</v>
      </c>
      <c r="J349" s="11"/>
      <c r="K349" s="11" t="s">
        <v>115</v>
      </c>
      <c r="L349" s="11" t="s">
        <v>116</v>
      </c>
      <c r="M349" s="11" t="s">
        <v>148</v>
      </c>
      <c r="N349" s="10"/>
      <c r="O349" s="11" t="str">
        <f aca="false">IF(N349="",IF(I349="Include","Include",J349),N349)</f>
        <v>Include</v>
      </c>
      <c r="P349" s="11" t="s">
        <v>2064</v>
      </c>
    </row>
    <row r="350" customFormat="false" ht="23.85" hidden="false" customHeight="false" outlineLevel="0" collapsed="false">
      <c r="A350" s="8" t="s">
        <v>2065</v>
      </c>
      <c r="B350" s="8" t="s">
        <v>44</v>
      </c>
      <c r="C350" s="9" t="s">
        <v>2066</v>
      </c>
      <c r="D350" s="8" t="n">
        <v>2026</v>
      </c>
      <c r="E350" s="8" t="s">
        <v>171</v>
      </c>
      <c r="F350" s="8" t="s">
        <v>2067</v>
      </c>
      <c r="G350" s="8" t="s">
        <v>459</v>
      </c>
      <c r="H350" s="13" t="s">
        <v>2068</v>
      </c>
      <c r="I350" s="8" t="s">
        <v>139</v>
      </c>
      <c r="J350" s="8" t="s">
        <v>85</v>
      </c>
      <c r="K350" s="8"/>
      <c r="L350" s="8"/>
      <c r="M350" s="8"/>
      <c r="N350" s="10"/>
      <c r="O350" s="11" t="str">
        <f aca="false">IF(N350="",IF(I350="Include","Include",J350),N350)</f>
        <v>EC6</v>
      </c>
      <c r="P350" s="11" t="s">
        <v>2069</v>
      </c>
    </row>
    <row r="351" customFormat="false" ht="23.85" hidden="false" customHeight="false" outlineLevel="0" collapsed="false">
      <c r="A351" s="11" t="s">
        <v>2070</v>
      </c>
      <c r="B351" s="11" t="s">
        <v>44</v>
      </c>
      <c r="C351" s="2" t="s">
        <v>2071</v>
      </c>
      <c r="D351" s="11" t="n">
        <v>2026</v>
      </c>
      <c r="E351" s="11" t="s">
        <v>171</v>
      </c>
      <c r="F351" s="11" t="s">
        <v>2072</v>
      </c>
      <c r="G351" s="11" t="s">
        <v>2034</v>
      </c>
      <c r="H351" s="12" t="s">
        <v>2073</v>
      </c>
      <c r="I351" s="11" t="s">
        <v>147</v>
      </c>
      <c r="J351" s="11"/>
      <c r="K351" s="11" t="s">
        <v>115</v>
      </c>
      <c r="L351" s="11" t="s">
        <v>118</v>
      </c>
      <c r="M351" s="11" t="s">
        <v>161</v>
      </c>
      <c r="N351" s="10"/>
      <c r="O351" s="11" t="str">
        <f aca="false">IF(N351="",IF(I351="Include","Include",J351),N351)</f>
        <v>Include</v>
      </c>
      <c r="P351" s="11" t="s">
        <v>2074</v>
      </c>
    </row>
    <row r="352" customFormat="false" ht="23.85" hidden="false" customHeight="false" outlineLevel="0" collapsed="false">
      <c r="A352" s="8" t="s">
        <v>2075</v>
      </c>
      <c r="B352" s="8" t="s">
        <v>44</v>
      </c>
      <c r="C352" s="9" t="s">
        <v>2076</v>
      </c>
      <c r="D352" s="8" t="n">
        <v>2023</v>
      </c>
      <c r="E352" s="8" t="s">
        <v>171</v>
      </c>
      <c r="F352" s="8" t="s">
        <v>2077</v>
      </c>
      <c r="G352" s="8" t="s">
        <v>1303</v>
      </c>
      <c r="H352" s="13" t="s">
        <v>2078</v>
      </c>
      <c r="I352" s="8" t="s">
        <v>139</v>
      </c>
      <c r="J352" s="8" t="s">
        <v>85</v>
      </c>
      <c r="K352" s="8"/>
      <c r="L352" s="8"/>
      <c r="M352" s="8"/>
      <c r="N352" s="10"/>
      <c r="O352" s="11" t="str">
        <f aca="false">IF(N352="",IF(I352="Include","Include",J352),N352)</f>
        <v>EC6</v>
      </c>
      <c r="P352" s="11" t="s">
        <v>2079</v>
      </c>
    </row>
    <row r="353" customFormat="false" ht="23.85" hidden="false" customHeight="false" outlineLevel="0" collapsed="false">
      <c r="A353" s="11" t="s">
        <v>2080</v>
      </c>
      <c r="B353" s="11" t="s">
        <v>44</v>
      </c>
      <c r="C353" s="2" t="s">
        <v>2081</v>
      </c>
      <c r="D353" s="11" t="n">
        <v>2024</v>
      </c>
      <c r="E353" s="11" t="s">
        <v>143</v>
      </c>
      <c r="F353" s="11" t="s">
        <v>1917</v>
      </c>
      <c r="G353" s="11" t="s">
        <v>1918</v>
      </c>
      <c r="H353" s="12" t="s">
        <v>2082</v>
      </c>
      <c r="I353" s="11" t="s">
        <v>147</v>
      </c>
      <c r="J353" s="11"/>
      <c r="K353" s="11" t="s">
        <v>115</v>
      </c>
      <c r="L353" s="11" t="s">
        <v>118</v>
      </c>
      <c r="M353" s="11" t="s">
        <v>148</v>
      </c>
      <c r="N353" s="10"/>
      <c r="O353" s="11" t="str">
        <f aca="false">IF(N353="",IF(I353="Include","Include",J353),N353)</f>
        <v>Include</v>
      </c>
      <c r="P353" s="11" t="s">
        <v>2083</v>
      </c>
    </row>
    <row r="354" customFormat="false" ht="23.85" hidden="false" customHeight="false" outlineLevel="0" collapsed="false">
      <c r="A354" s="8" t="s">
        <v>2084</v>
      </c>
      <c r="B354" s="8" t="s">
        <v>44</v>
      </c>
      <c r="C354" s="9" t="s">
        <v>2085</v>
      </c>
      <c r="D354" s="8" t="n">
        <v>2025</v>
      </c>
      <c r="E354" s="8" t="s">
        <v>143</v>
      </c>
      <c r="F354" s="8" t="s">
        <v>2086</v>
      </c>
      <c r="G354" s="8" t="s">
        <v>2087</v>
      </c>
      <c r="H354" s="13" t="s">
        <v>2088</v>
      </c>
      <c r="I354" s="8" t="s">
        <v>139</v>
      </c>
      <c r="J354" s="8" t="s">
        <v>87</v>
      </c>
      <c r="K354" s="8"/>
      <c r="L354" s="8"/>
      <c r="M354" s="8"/>
      <c r="N354" s="10"/>
      <c r="O354" s="11" t="str">
        <f aca="false">IF(N354="",IF(I354="Include","Include",J354),N354)</f>
        <v>EC7</v>
      </c>
      <c r="P354" s="11" t="s">
        <v>2089</v>
      </c>
    </row>
    <row r="355" customFormat="false" ht="23.85" hidden="false" customHeight="false" outlineLevel="0" collapsed="false">
      <c r="A355" s="8" t="s">
        <v>2090</v>
      </c>
      <c r="B355" s="8" t="s">
        <v>44</v>
      </c>
      <c r="C355" s="9" t="s">
        <v>2091</v>
      </c>
      <c r="D355" s="8" t="n">
        <v>2023</v>
      </c>
      <c r="E355" s="8" t="s">
        <v>171</v>
      </c>
      <c r="F355" s="8" t="s">
        <v>2092</v>
      </c>
      <c r="G355" s="8" t="s">
        <v>2093</v>
      </c>
      <c r="H355" s="13" t="s">
        <v>2094</v>
      </c>
      <c r="I355" s="8" t="s">
        <v>139</v>
      </c>
      <c r="J355" s="8" t="s">
        <v>85</v>
      </c>
      <c r="K355" s="8"/>
      <c r="L355" s="8"/>
      <c r="M355" s="8"/>
      <c r="N355" s="10"/>
      <c r="O355" s="11" t="str">
        <f aca="false">IF(N355="",IF(I355="Include","Include",J355),N355)</f>
        <v>EC6</v>
      </c>
      <c r="P355" s="11" t="s">
        <v>2095</v>
      </c>
    </row>
    <row r="356" customFormat="false" ht="23.85" hidden="false" customHeight="false" outlineLevel="0" collapsed="false">
      <c r="A356" s="8" t="s">
        <v>2096</v>
      </c>
      <c r="B356" s="8" t="s">
        <v>44</v>
      </c>
      <c r="C356" s="9" t="s">
        <v>2097</v>
      </c>
      <c r="D356" s="8" t="n">
        <v>2026</v>
      </c>
      <c r="E356" s="8" t="s">
        <v>143</v>
      </c>
      <c r="F356" s="8" t="s">
        <v>2098</v>
      </c>
      <c r="G356" s="8" t="s">
        <v>514</v>
      </c>
      <c r="H356" s="13" t="s">
        <v>2099</v>
      </c>
      <c r="I356" s="8" t="s">
        <v>139</v>
      </c>
      <c r="J356" s="8" t="s">
        <v>85</v>
      </c>
      <c r="K356" s="8"/>
      <c r="L356" s="8"/>
      <c r="M356" s="8"/>
      <c r="N356" s="10"/>
      <c r="O356" s="11" t="str">
        <f aca="false">IF(N356="",IF(I356="Include","Include",J356),N356)</f>
        <v>EC6</v>
      </c>
      <c r="P356" s="11" t="s">
        <v>2100</v>
      </c>
    </row>
    <row r="357" customFormat="false" ht="15" hidden="false" customHeight="false" outlineLevel="0" collapsed="false">
      <c r="A357" s="8" t="s">
        <v>2101</v>
      </c>
      <c r="B357" s="8" t="s">
        <v>44</v>
      </c>
      <c r="C357" s="9" t="s">
        <v>2102</v>
      </c>
      <c r="D357" s="8" t="n">
        <v>2024</v>
      </c>
      <c r="E357" s="8" t="s">
        <v>143</v>
      </c>
      <c r="F357" s="8" t="s">
        <v>2103</v>
      </c>
      <c r="G357" s="8" t="s">
        <v>2104</v>
      </c>
      <c r="H357" s="13" t="s">
        <v>2105</v>
      </c>
      <c r="I357" s="8" t="s">
        <v>139</v>
      </c>
      <c r="J357" s="8" t="s">
        <v>85</v>
      </c>
      <c r="K357" s="8"/>
      <c r="L357" s="8"/>
      <c r="M357" s="8"/>
      <c r="N357" s="10"/>
      <c r="O357" s="11" t="str">
        <f aca="false">IF(N357="",IF(I357="Include","Include",J357),N357)</f>
        <v>EC6</v>
      </c>
      <c r="P357" s="11" t="s">
        <v>2106</v>
      </c>
    </row>
    <row r="358" customFormat="false" ht="23.85" hidden="false" customHeight="false" outlineLevel="0" collapsed="false">
      <c r="A358" s="11" t="s">
        <v>2107</v>
      </c>
      <c r="B358" s="11" t="s">
        <v>44</v>
      </c>
      <c r="C358" s="2" t="s">
        <v>2108</v>
      </c>
      <c r="D358" s="11" t="n">
        <v>2025</v>
      </c>
      <c r="E358" s="11" t="s">
        <v>171</v>
      </c>
      <c r="F358" s="11" t="s">
        <v>2109</v>
      </c>
      <c r="G358" s="11" t="s">
        <v>2110</v>
      </c>
      <c r="H358" s="12" t="s">
        <v>2111</v>
      </c>
      <c r="I358" s="11" t="s">
        <v>147</v>
      </c>
      <c r="J358" s="11"/>
      <c r="K358" s="11" t="s">
        <v>115</v>
      </c>
      <c r="L358" s="11" t="s">
        <v>118</v>
      </c>
      <c r="M358" s="11" t="s">
        <v>210</v>
      </c>
      <c r="N358" s="10"/>
      <c r="O358" s="11" t="str">
        <f aca="false">IF(N358="",IF(I358="Include","Include",J358),N358)</f>
        <v>Include</v>
      </c>
      <c r="P358" s="11" t="s">
        <v>2112</v>
      </c>
    </row>
    <row r="359" customFormat="false" ht="23.85" hidden="false" customHeight="false" outlineLevel="0" collapsed="false">
      <c r="A359" s="8" t="s">
        <v>2113</v>
      </c>
      <c r="B359" s="8" t="s">
        <v>44</v>
      </c>
      <c r="C359" s="9" t="s">
        <v>2114</v>
      </c>
      <c r="D359" s="8" t="n">
        <v>2025</v>
      </c>
      <c r="E359" s="8" t="s">
        <v>143</v>
      </c>
      <c r="F359" s="8" t="s">
        <v>2115</v>
      </c>
      <c r="G359" s="8" t="s">
        <v>2116</v>
      </c>
      <c r="H359" s="13" t="s">
        <v>2117</v>
      </c>
      <c r="I359" s="8" t="s">
        <v>139</v>
      </c>
      <c r="J359" s="8" t="s">
        <v>85</v>
      </c>
      <c r="K359" s="8"/>
      <c r="L359" s="8"/>
      <c r="M359" s="8"/>
      <c r="N359" s="10"/>
      <c r="O359" s="11" t="str">
        <f aca="false">IF(N359="",IF(I359="Include","Include",J359),N359)</f>
        <v>EC6</v>
      </c>
      <c r="P359" s="11" t="s">
        <v>2118</v>
      </c>
    </row>
    <row r="360" customFormat="false" ht="23.85" hidden="false" customHeight="false" outlineLevel="0" collapsed="false">
      <c r="A360" s="8" t="s">
        <v>2119</v>
      </c>
      <c r="B360" s="8" t="s">
        <v>44</v>
      </c>
      <c r="C360" s="9" t="s">
        <v>2120</v>
      </c>
      <c r="D360" s="8" t="n">
        <v>2025</v>
      </c>
      <c r="E360" s="8" t="s">
        <v>143</v>
      </c>
      <c r="F360" s="8" t="s">
        <v>2121</v>
      </c>
      <c r="G360" s="8" t="s">
        <v>2122</v>
      </c>
      <c r="H360" s="13" t="s">
        <v>2123</v>
      </c>
      <c r="I360" s="8" t="s">
        <v>139</v>
      </c>
      <c r="J360" s="8" t="s">
        <v>85</v>
      </c>
      <c r="K360" s="8"/>
      <c r="L360" s="8"/>
      <c r="M360" s="8"/>
      <c r="N360" s="10"/>
      <c r="O360" s="11" t="str">
        <f aca="false">IF(N360="",IF(I360="Include","Include",J360),N360)</f>
        <v>EC6</v>
      </c>
      <c r="P360" s="11" t="s">
        <v>2124</v>
      </c>
    </row>
    <row r="361" customFormat="false" ht="23.85" hidden="false" customHeight="false" outlineLevel="0" collapsed="false">
      <c r="A361" s="8" t="s">
        <v>2125</v>
      </c>
      <c r="B361" s="8" t="s">
        <v>44</v>
      </c>
      <c r="C361" s="9" t="s">
        <v>2126</v>
      </c>
      <c r="D361" s="8" t="n">
        <v>2025</v>
      </c>
      <c r="E361" s="8" t="s">
        <v>143</v>
      </c>
      <c r="F361" s="8" t="s">
        <v>2127</v>
      </c>
      <c r="G361" s="8" t="s">
        <v>2128</v>
      </c>
      <c r="H361" s="13" t="s">
        <v>2129</v>
      </c>
      <c r="I361" s="8" t="s">
        <v>139</v>
      </c>
      <c r="J361" s="8" t="s">
        <v>87</v>
      </c>
      <c r="K361" s="8"/>
      <c r="L361" s="8"/>
      <c r="M361" s="8"/>
      <c r="N361" s="10"/>
      <c r="O361" s="11" t="str">
        <f aca="false">IF(N361="",IF(I361="Include","Include",J361),N361)</f>
        <v>EC7</v>
      </c>
      <c r="P361" s="11" t="s">
        <v>2130</v>
      </c>
    </row>
    <row r="362" customFormat="false" ht="23.85" hidden="false" customHeight="false" outlineLevel="0" collapsed="false">
      <c r="A362" s="8" t="s">
        <v>2131</v>
      </c>
      <c r="B362" s="8" t="s">
        <v>44</v>
      </c>
      <c r="C362" s="9" t="s">
        <v>2132</v>
      </c>
      <c r="D362" s="8" t="n">
        <v>2026</v>
      </c>
      <c r="E362" s="8" t="s">
        <v>171</v>
      </c>
      <c r="F362" s="8" t="s">
        <v>2133</v>
      </c>
      <c r="G362" s="8" t="s">
        <v>2134</v>
      </c>
      <c r="H362" s="13" t="s">
        <v>2135</v>
      </c>
      <c r="I362" s="8" t="s">
        <v>139</v>
      </c>
      <c r="J362" s="8" t="s">
        <v>85</v>
      </c>
      <c r="K362" s="8"/>
      <c r="L362" s="8"/>
      <c r="M362" s="8"/>
      <c r="N362" s="10"/>
      <c r="O362" s="11" t="str">
        <f aca="false">IF(N362="",IF(I362="Include","Include",J362),N362)</f>
        <v>EC6</v>
      </c>
      <c r="P362" s="11" t="s">
        <v>2136</v>
      </c>
    </row>
    <row r="363" customFormat="false" ht="35.05" hidden="false" customHeight="false" outlineLevel="0" collapsed="false">
      <c r="A363" s="8" t="s">
        <v>2137</v>
      </c>
      <c r="B363" s="8" t="s">
        <v>44</v>
      </c>
      <c r="C363" s="9" t="s">
        <v>2138</v>
      </c>
      <c r="D363" s="8" t="n">
        <v>2026</v>
      </c>
      <c r="E363" s="8" t="s">
        <v>171</v>
      </c>
      <c r="F363" s="8" t="s">
        <v>2139</v>
      </c>
      <c r="G363" s="8" t="s">
        <v>1799</v>
      </c>
      <c r="H363" s="13" t="s">
        <v>2140</v>
      </c>
      <c r="I363" s="8" t="s">
        <v>139</v>
      </c>
      <c r="J363" s="8" t="s">
        <v>85</v>
      </c>
      <c r="K363" s="8"/>
      <c r="L363" s="8"/>
      <c r="M363" s="8"/>
      <c r="N363" s="10"/>
      <c r="O363" s="11" t="str">
        <f aca="false">IF(N363="",IF(I363="Include","Include",J363),N363)</f>
        <v>EC6</v>
      </c>
      <c r="P363" s="11" t="s">
        <v>2141</v>
      </c>
    </row>
    <row r="364" customFormat="false" ht="23.85" hidden="false" customHeight="false" outlineLevel="0" collapsed="false">
      <c r="A364" s="11" t="s">
        <v>2142</v>
      </c>
      <c r="B364" s="11" t="s">
        <v>44</v>
      </c>
      <c r="C364" s="2" t="s">
        <v>2143</v>
      </c>
      <c r="D364" s="11" t="n">
        <v>2026</v>
      </c>
      <c r="E364" s="11" t="s">
        <v>143</v>
      </c>
      <c r="F364" s="11" t="s">
        <v>2144</v>
      </c>
      <c r="G364" s="11" t="s">
        <v>2145</v>
      </c>
      <c r="H364" s="12" t="s">
        <v>2146</v>
      </c>
      <c r="I364" s="11" t="s">
        <v>147</v>
      </c>
      <c r="J364" s="11"/>
      <c r="K364" s="11" t="s">
        <v>115</v>
      </c>
      <c r="L364" s="11" t="s">
        <v>120</v>
      </c>
      <c r="M364" s="11" t="s">
        <v>148</v>
      </c>
      <c r="N364" s="10"/>
      <c r="O364" s="11" t="str">
        <f aca="false">IF(N364="",IF(I364="Include","Include",J364),N364)</f>
        <v>Include</v>
      </c>
      <c r="P364" s="11" t="s">
        <v>2147</v>
      </c>
    </row>
    <row r="365" customFormat="false" ht="15" hidden="false" customHeight="false" outlineLevel="0" collapsed="false">
      <c r="A365" s="11" t="s">
        <v>2148</v>
      </c>
      <c r="B365" s="11" t="s">
        <v>44</v>
      </c>
      <c r="C365" s="2" t="s">
        <v>2149</v>
      </c>
      <c r="D365" s="11" t="n">
        <v>2025</v>
      </c>
      <c r="E365" s="11" t="s">
        <v>171</v>
      </c>
      <c r="F365" s="11" t="s">
        <v>2150</v>
      </c>
      <c r="G365" s="11" t="s">
        <v>2151</v>
      </c>
      <c r="H365" s="12" t="s">
        <v>2152</v>
      </c>
      <c r="I365" s="11" t="s">
        <v>147</v>
      </c>
      <c r="J365" s="11"/>
      <c r="K365" s="11" t="s">
        <v>115</v>
      </c>
      <c r="L365" s="11" t="s">
        <v>118</v>
      </c>
      <c r="M365" s="11" t="s">
        <v>210</v>
      </c>
      <c r="N365" s="10"/>
      <c r="O365" s="11" t="str">
        <f aca="false">IF(N365="",IF(I365="Include","Include",J365),N365)</f>
        <v>Include</v>
      </c>
      <c r="P365" s="11" t="s">
        <v>2153</v>
      </c>
    </row>
    <row r="366" customFormat="false" ht="23.85" hidden="false" customHeight="false" outlineLevel="0" collapsed="false">
      <c r="A366" s="11" t="s">
        <v>2154</v>
      </c>
      <c r="B366" s="11" t="s">
        <v>44</v>
      </c>
      <c r="C366" s="2" t="s">
        <v>2155</v>
      </c>
      <c r="D366" s="11" t="n">
        <v>2021</v>
      </c>
      <c r="E366" s="11" t="s">
        <v>171</v>
      </c>
      <c r="F366" s="11" t="s">
        <v>2156</v>
      </c>
      <c r="G366" s="11" t="s">
        <v>387</v>
      </c>
      <c r="H366" s="12" t="s">
        <v>2157</v>
      </c>
      <c r="I366" s="11" t="s">
        <v>147</v>
      </c>
      <c r="J366" s="11"/>
      <c r="K366" s="11" t="s">
        <v>115</v>
      </c>
      <c r="L366" s="11" t="s">
        <v>116</v>
      </c>
      <c r="M366" s="11" t="s">
        <v>161</v>
      </c>
      <c r="N366" s="10"/>
      <c r="O366" s="11" t="str">
        <f aca="false">IF(N366="",IF(I366="Include","Include",J366),N366)</f>
        <v>Include</v>
      </c>
      <c r="P366" s="11" t="s">
        <v>2158</v>
      </c>
    </row>
    <row r="367" customFormat="false" ht="15" hidden="false" customHeight="false" outlineLevel="0" collapsed="false">
      <c r="A367" s="11" t="s">
        <v>2159</v>
      </c>
      <c r="B367" s="11" t="s">
        <v>44</v>
      </c>
      <c r="C367" s="2" t="s">
        <v>2160</v>
      </c>
      <c r="D367" s="11" t="n">
        <v>2026</v>
      </c>
      <c r="E367" s="11" t="s">
        <v>143</v>
      </c>
      <c r="F367" s="11" t="s">
        <v>2161</v>
      </c>
      <c r="G367" s="11" t="s">
        <v>1218</v>
      </c>
      <c r="H367" s="12" t="s">
        <v>2162</v>
      </c>
      <c r="I367" s="11" t="s">
        <v>147</v>
      </c>
      <c r="J367" s="11"/>
      <c r="K367" s="11" t="s">
        <v>115</v>
      </c>
      <c r="L367" s="11" t="s">
        <v>113</v>
      </c>
      <c r="M367" s="11" t="s">
        <v>161</v>
      </c>
      <c r="N367" s="10"/>
      <c r="O367" s="11" t="str">
        <f aca="false">IF(N367="",IF(I367="Include","Include",J367),N367)</f>
        <v>Include</v>
      </c>
      <c r="P367" s="11" t="s">
        <v>2163</v>
      </c>
    </row>
    <row r="368" customFormat="false" ht="23.85" hidden="false" customHeight="false" outlineLevel="0" collapsed="false">
      <c r="A368" s="11" t="s">
        <v>2164</v>
      </c>
      <c r="B368" s="11" t="s">
        <v>44</v>
      </c>
      <c r="C368" s="2" t="s">
        <v>2165</v>
      </c>
      <c r="D368" s="11" t="n">
        <v>2022</v>
      </c>
      <c r="E368" s="11" t="s">
        <v>143</v>
      </c>
      <c r="F368" s="11" t="s">
        <v>2166</v>
      </c>
      <c r="G368" s="11" t="s">
        <v>2167</v>
      </c>
      <c r="H368" s="12" t="s">
        <v>2168</v>
      </c>
      <c r="I368" s="11" t="s">
        <v>147</v>
      </c>
      <c r="J368" s="11"/>
      <c r="K368" s="11" t="s">
        <v>115</v>
      </c>
      <c r="L368" s="11" t="s">
        <v>116</v>
      </c>
      <c r="M368" s="11" t="s">
        <v>210</v>
      </c>
      <c r="N368" s="10"/>
      <c r="O368" s="11" t="str">
        <f aca="false">IF(N368="",IF(I368="Include","Include",J368),N368)</f>
        <v>Include</v>
      </c>
      <c r="P368" s="11" t="s">
        <v>2169</v>
      </c>
    </row>
    <row r="369" customFormat="false" ht="23.85" hidden="false" customHeight="false" outlineLevel="0" collapsed="false">
      <c r="A369" s="11" t="s">
        <v>2170</v>
      </c>
      <c r="B369" s="11" t="s">
        <v>44</v>
      </c>
      <c r="C369" s="2" t="s">
        <v>2171</v>
      </c>
      <c r="D369" s="11" t="n">
        <v>2025</v>
      </c>
      <c r="E369" s="11" t="s">
        <v>171</v>
      </c>
      <c r="F369" s="11" t="s">
        <v>2172</v>
      </c>
      <c r="G369" s="11" t="s">
        <v>329</v>
      </c>
      <c r="H369" s="12" t="s">
        <v>2173</v>
      </c>
      <c r="I369" s="11" t="s">
        <v>147</v>
      </c>
      <c r="J369" s="11"/>
      <c r="K369" s="11" t="s">
        <v>115</v>
      </c>
      <c r="L369" s="11" t="s">
        <v>120</v>
      </c>
      <c r="M369" s="11" t="s">
        <v>148</v>
      </c>
      <c r="N369" s="10"/>
      <c r="O369" s="11" t="str">
        <f aca="false">IF(N369="",IF(I369="Include","Include",J369),N369)</f>
        <v>Include</v>
      </c>
      <c r="P369" s="11" t="s">
        <v>2174</v>
      </c>
    </row>
    <row r="370" customFormat="false" ht="23.85" hidden="false" customHeight="false" outlineLevel="0" collapsed="false">
      <c r="A370" s="8" t="s">
        <v>2175</v>
      </c>
      <c r="B370" s="8" t="s">
        <v>44</v>
      </c>
      <c r="C370" s="9" t="s">
        <v>2176</v>
      </c>
      <c r="D370" s="8" t="n">
        <v>2023</v>
      </c>
      <c r="E370" s="8" t="s">
        <v>171</v>
      </c>
      <c r="F370" s="8" t="s">
        <v>2177</v>
      </c>
      <c r="G370" s="8" t="s">
        <v>758</v>
      </c>
      <c r="H370" s="13" t="s">
        <v>2178</v>
      </c>
      <c r="I370" s="8" t="s">
        <v>139</v>
      </c>
      <c r="J370" s="8" t="s">
        <v>85</v>
      </c>
      <c r="K370" s="8"/>
      <c r="L370" s="8"/>
      <c r="M370" s="8"/>
      <c r="N370" s="10"/>
      <c r="O370" s="11" t="str">
        <f aca="false">IF(N370="",IF(I370="Include","Include",J370),N370)</f>
        <v>EC6</v>
      </c>
      <c r="P370" s="11" t="s">
        <v>2179</v>
      </c>
    </row>
    <row r="371" customFormat="false" ht="23.85" hidden="false" customHeight="false" outlineLevel="0" collapsed="false">
      <c r="A371" s="8" t="s">
        <v>2180</v>
      </c>
      <c r="B371" s="8" t="s">
        <v>44</v>
      </c>
      <c r="C371" s="9" t="s">
        <v>2181</v>
      </c>
      <c r="D371" s="8" t="n">
        <v>2024</v>
      </c>
      <c r="E371" s="8" t="s">
        <v>171</v>
      </c>
      <c r="F371" s="8" t="s">
        <v>2182</v>
      </c>
      <c r="G371" s="8" t="s">
        <v>329</v>
      </c>
      <c r="H371" s="13" t="s">
        <v>2183</v>
      </c>
      <c r="I371" s="8" t="s">
        <v>139</v>
      </c>
      <c r="J371" s="8" t="s">
        <v>85</v>
      </c>
      <c r="K371" s="8"/>
      <c r="L371" s="8"/>
      <c r="M371" s="8"/>
      <c r="N371" s="10"/>
      <c r="O371" s="11" t="str">
        <f aca="false">IF(N371="",IF(I371="Include","Include",J371),N371)</f>
        <v>EC6</v>
      </c>
      <c r="P371" s="11" t="s">
        <v>2184</v>
      </c>
    </row>
    <row r="372" customFormat="false" ht="23.85" hidden="false" customHeight="false" outlineLevel="0" collapsed="false">
      <c r="A372" s="8" t="s">
        <v>2185</v>
      </c>
      <c r="B372" s="8" t="s">
        <v>44</v>
      </c>
      <c r="C372" s="9" t="s">
        <v>2186</v>
      </c>
      <c r="D372" s="8" t="n">
        <v>2025</v>
      </c>
      <c r="E372" s="8" t="s">
        <v>143</v>
      </c>
      <c r="F372" s="8" t="s">
        <v>2187</v>
      </c>
      <c r="G372" s="8" t="s">
        <v>2188</v>
      </c>
      <c r="H372" s="13" t="s">
        <v>2189</v>
      </c>
      <c r="I372" s="8" t="s">
        <v>139</v>
      </c>
      <c r="J372" s="8" t="s">
        <v>85</v>
      </c>
      <c r="K372" s="8"/>
      <c r="L372" s="8"/>
      <c r="M372" s="8"/>
      <c r="N372" s="10"/>
      <c r="O372" s="11" t="str">
        <f aca="false">IF(N372="",IF(I372="Include","Include",J372),N372)</f>
        <v>EC6</v>
      </c>
      <c r="P372" s="11" t="s">
        <v>2190</v>
      </c>
    </row>
    <row r="373" customFormat="false" ht="23.85" hidden="false" customHeight="false" outlineLevel="0" collapsed="false">
      <c r="A373" s="11" t="s">
        <v>2191</v>
      </c>
      <c r="B373" s="11" t="s">
        <v>44</v>
      </c>
      <c r="C373" s="2" t="s">
        <v>2192</v>
      </c>
      <c r="D373" s="11" t="n">
        <v>2023</v>
      </c>
      <c r="E373" s="11" t="s">
        <v>143</v>
      </c>
      <c r="F373" s="11" t="s">
        <v>2193</v>
      </c>
      <c r="G373" s="11" t="s">
        <v>1861</v>
      </c>
      <c r="H373" s="12" t="s">
        <v>2194</v>
      </c>
      <c r="I373" s="11" t="s">
        <v>147</v>
      </c>
      <c r="J373" s="11"/>
      <c r="K373" s="11" t="s">
        <v>115</v>
      </c>
      <c r="L373" s="11" t="s">
        <v>118</v>
      </c>
      <c r="M373" s="11" t="s">
        <v>161</v>
      </c>
      <c r="N373" s="10"/>
      <c r="O373" s="11" t="str">
        <f aca="false">IF(N373="",IF(I373="Include","Include",J373),N373)</f>
        <v>Include</v>
      </c>
      <c r="P373" s="11" t="s">
        <v>2195</v>
      </c>
    </row>
    <row r="374" customFormat="false" ht="23.85" hidden="false" customHeight="false" outlineLevel="0" collapsed="false">
      <c r="A374" s="11" t="s">
        <v>2196</v>
      </c>
      <c r="B374" s="11" t="s">
        <v>44</v>
      </c>
      <c r="C374" s="2" t="s">
        <v>2197</v>
      </c>
      <c r="D374" s="11" t="n">
        <v>2025</v>
      </c>
      <c r="E374" s="11" t="s">
        <v>143</v>
      </c>
      <c r="F374" s="11" t="s">
        <v>2198</v>
      </c>
      <c r="G374" s="11" t="s">
        <v>2199</v>
      </c>
      <c r="H374" s="12" t="s">
        <v>2200</v>
      </c>
      <c r="I374" s="11" t="s">
        <v>147</v>
      </c>
      <c r="J374" s="11"/>
      <c r="K374" s="11" t="s">
        <v>115</v>
      </c>
      <c r="L374" s="11" t="s">
        <v>116</v>
      </c>
      <c r="M374" s="11" t="s">
        <v>210</v>
      </c>
      <c r="N374" s="10"/>
      <c r="O374" s="11" t="str">
        <f aca="false">IF(N374="",IF(I374="Include","Include",J374),N374)</f>
        <v>Include</v>
      </c>
      <c r="P374" s="11" t="s">
        <v>2201</v>
      </c>
    </row>
    <row r="375" customFormat="false" ht="35.05" hidden="false" customHeight="false" outlineLevel="0" collapsed="false">
      <c r="A375" s="8" t="s">
        <v>2202</v>
      </c>
      <c r="B375" s="8" t="s">
        <v>44</v>
      </c>
      <c r="C375" s="9" t="s">
        <v>2203</v>
      </c>
      <c r="D375" s="8" t="n">
        <v>2024</v>
      </c>
      <c r="E375" s="8" t="s">
        <v>143</v>
      </c>
      <c r="F375" s="8" t="s">
        <v>2204</v>
      </c>
      <c r="G375" s="8" t="s">
        <v>2205</v>
      </c>
      <c r="H375" s="13" t="s">
        <v>2206</v>
      </c>
      <c r="I375" s="8" t="s">
        <v>139</v>
      </c>
      <c r="J375" s="8" t="s">
        <v>87</v>
      </c>
      <c r="K375" s="8"/>
      <c r="L375" s="8"/>
      <c r="M375" s="8"/>
      <c r="N375" s="10"/>
      <c r="O375" s="11" t="str">
        <f aca="false">IF(N375="",IF(I375="Include","Include",J375),N375)</f>
        <v>EC7</v>
      </c>
      <c r="P375" s="11" t="s">
        <v>2207</v>
      </c>
    </row>
    <row r="376" customFormat="false" ht="23.85" hidden="false" customHeight="false" outlineLevel="0" collapsed="false">
      <c r="A376" s="8" t="s">
        <v>2208</v>
      </c>
      <c r="B376" s="8" t="s">
        <v>44</v>
      </c>
      <c r="C376" s="9" t="s">
        <v>2209</v>
      </c>
      <c r="D376" s="8" t="n">
        <v>2026</v>
      </c>
      <c r="E376" s="8" t="s">
        <v>171</v>
      </c>
      <c r="F376" s="8" t="s">
        <v>2210</v>
      </c>
      <c r="G376" s="8" t="s">
        <v>471</v>
      </c>
      <c r="H376" s="13" t="s">
        <v>2211</v>
      </c>
      <c r="I376" s="8" t="s">
        <v>139</v>
      </c>
      <c r="J376" s="8" t="s">
        <v>85</v>
      </c>
      <c r="K376" s="8"/>
      <c r="L376" s="8"/>
      <c r="M376" s="8"/>
      <c r="N376" s="10"/>
      <c r="O376" s="11" t="str">
        <f aca="false">IF(N376="",IF(I376="Include","Include",J376),N376)</f>
        <v>EC6</v>
      </c>
      <c r="P376" s="11" t="s">
        <v>2212</v>
      </c>
    </row>
    <row r="377" customFormat="false" ht="23.85" hidden="false" customHeight="false" outlineLevel="0" collapsed="false">
      <c r="A377" s="8" t="s">
        <v>2213</v>
      </c>
      <c r="B377" s="8" t="s">
        <v>44</v>
      </c>
      <c r="C377" s="9" t="s">
        <v>2214</v>
      </c>
      <c r="D377" s="8" t="n">
        <v>2025</v>
      </c>
      <c r="E377" s="8" t="s">
        <v>171</v>
      </c>
      <c r="F377" s="8" t="s">
        <v>2215</v>
      </c>
      <c r="G377" s="8" t="s">
        <v>2216</v>
      </c>
      <c r="H377" s="13" t="s">
        <v>2217</v>
      </c>
      <c r="I377" s="8" t="s">
        <v>139</v>
      </c>
      <c r="J377" s="8" t="s">
        <v>85</v>
      </c>
      <c r="K377" s="8"/>
      <c r="L377" s="8"/>
      <c r="M377" s="8"/>
      <c r="N377" s="10"/>
      <c r="O377" s="11" t="str">
        <f aca="false">IF(N377="",IF(I377="Include","Include",J377),N377)</f>
        <v>EC6</v>
      </c>
      <c r="P377" s="11" t="s">
        <v>2218</v>
      </c>
    </row>
    <row r="378" customFormat="false" ht="23.85" hidden="false" customHeight="false" outlineLevel="0" collapsed="false">
      <c r="A378" s="8" t="s">
        <v>2219</v>
      </c>
      <c r="B378" s="8" t="s">
        <v>44</v>
      </c>
      <c r="C378" s="9" t="s">
        <v>2220</v>
      </c>
      <c r="D378" s="8" t="n">
        <v>2026</v>
      </c>
      <c r="E378" s="8" t="s">
        <v>171</v>
      </c>
      <c r="F378" s="8" t="s">
        <v>2221</v>
      </c>
      <c r="G378" s="8" t="s">
        <v>2222</v>
      </c>
      <c r="H378" s="13" t="s">
        <v>2223</v>
      </c>
      <c r="I378" s="8" t="s">
        <v>139</v>
      </c>
      <c r="J378" s="8" t="s">
        <v>85</v>
      </c>
      <c r="K378" s="8"/>
      <c r="L378" s="8"/>
      <c r="M378" s="8"/>
      <c r="N378" s="10"/>
      <c r="O378" s="11" t="str">
        <f aca="false">IF(N378="",IF(I378="Include","Include",J378),N378)</f>
        <v>EC6</v>
      </c>
      <c r="P378" s="11" t="s">
        <v>2224</v>
      </c>
    </row>
    <row r="379" customFormat="false" ht="23.85" hidden="false" customHeight="false" outlineLevel="0" collapsed="false">
      <c r="A379" s="8" t="s">
        <v>2225</v>
      </c>
      <c r="B379" s="8" t="s">
        <v>44</v>
      </c>
      <c r="C379" s="9" t="s">
        <v>2226</v>
      </c>
      <c r="D379" s="8" t="n">
        <v>2024</v>
      </c>
      <c r="E379" s="8" t="s">
        <v>143</v>
      </c>
      <c r="F379" s="8" t="s">
        <v>2227</v>
      </c>
      <c r="G379" s="8" t="s">
        <v>2228</v>
      </c>
      <c r="H379" s="13" t="s">
        <v>2229</v>
      </c>
      <c r="I379" s="8" t="s">
        <v>139</v>
      </c>
      <c r="J379" s="8" t="s">
        <v>85</v>
      </c>
      <c r="K379" s="8"/>
      <c r="L379" s="8"/>
      <c r="M379" s="8"/>
      <c r="N379" s="10"/>
      <c r="O379" s="11" t="str">
        <f aca="false">IF(N379="",IF(I379="Include","Include",J379),N379)</f>
        <v>EC6</v>
      </c>
      <c r="P379" s="11" t="s">
        <v>2230</v>
      </c>
    </row>
    <row r="380" customFormat="false" ht="23.85" hidden="false" customHeight="false" outlineLevel="0" collapsed="false">
      <c r="A380" s="8" t="s">
        <v>2231</v>
      </c>
      <c r="B380" s="8" t="s">
        <v>44</v>
      </c>
      <c r="C380" s="9" t="s">
        <v>2232</v>
      </c>
      <c r="D380" s="8" t="n">
        <v>2025</v>
      </c>
      <c r="E380" s="8" t="s">
        <v>143</v>
      </c>
      <c r="F380" s="8" t="s">
        <v>2233</v>
      </c>
      <c r="G380" s="8" t="s">
        <v>178</v>
      </c>
      <c r="H380" s="13" t="s">
        <v>2234</v>
      </c>
      <c r="I380" s="8" t="s">
        <v>139</v>
      </c>
      <c r="J380" s="8" t="s">
        <v>85</v>
      </c>
      <c r="K380" s="8"/>
      <c r="L380" s="8"/>
      <c r="M380" s="8"/>
      <c r="N380" s="10"/>
      <c r="O380" s="11" t="str">
        <f aca="false">IF(N380="",IF(I380="Include","Include",J380),N380)</f>
        <v>EC6</v>
      </c>
      <c r="P380" s="11" t="s">
        <v>2235</v>
      </c>
    </row>
    <row r="381" customFormat="false" ht="35.05" hidden="false" customHeight="false" outlineLevel="0" collapsed="false">
      <c r="A381" s="11" t="s">
        <v>2236</v>
      </c>
      <c r="B381" s="11" t="s">
        <v>44</v>
      </c>
      <c r="C381" s="2" t="s">
        <v>2237</v>
      </c>
      <c r="D381" s="11" t="n">
        <v>2026</v>
      </c>
      <c r="E381" s="11" t="s">
        <v>171</v>
      </c>
      <c r="F381" s="11" t="s">
        <v>2238</v>
      </c>
      <c r="G381" s="11" t="s">
        <v>2239</v>
      </c>
      <c r="H381" s="12" t="s">
        <v>2240</v>
      </c>
      <c r="I381" s="11" t="s">
        <v>147</v>
      </c>
      <c r="J381" s="11"/>
      <c r="K381" s="11" t="s">
        <v>115</v>
      </c>
      <c r="L381" s="11" t="s">
        <v>118</v>
      </c>
      <c r="M381" s="11" t="s">
        <v>148</v>
      </c>
      <c r="N381" s="10"/>
      <c r="O381" s="11" t="str">
        <f aca="false">IF(N381="",IF(I381="Include","Include",J381),N381)</f>
        <v>Include</v>
      </c>
      <c r="P381" s="11" t="s">
        <v>2241</v>
      </c>
    </row>
    <row r="382" customFormat="false" ht="23.85" hidden="false" customHeight="false" outlineLevel="0" collapsed="false">
      <c r="A382" s="8" t="s">
        <v>2242</v>
      </c>
      <c r="B382" s="8" t="s">
        <v>44</v>
      </c>
      <c r="C382" s="9" t="s">
        <v>2243</v>
      </c>
      <c r="D382" s="8" t="n">
        <v>2025</v>
      </c>
      <c r="E382" s="8" t="s">
        <v>143</v>
      </c>
      <c r="F382" s="8" t="s">
        <v>2244</v>
      </c>
      <c r="G382" s="8" t="s">
        <v>2245</v>
      </c>
      <c r="H382" s="13" t="s">
        <v>2246</v>
      </c>
      <c r="I382" s="8" t="s">
        <v>139</v>
      </c>
      <c r="J382" s="8" t="s">
        <v>83</v>
      </c>
      <c r="K382" s="8"/>
      <c r="L382" s="8"/>
      <c r="M382" s="8"/>
      <c r="N382" s="10"/>
      <c r="O382" s="11" t="str">
        <f aca="false">IF(N382="",IF(I382="Include","Include",J382),N382)</f>
        <v>EC5</v>
      </c>
      <c r="P382" s="11" t="s">
        <v>2247</v>
      </c>
    </row>
    <row r="383" customFormat="false" ht="35.05" hidden="false" customHeight="false" outlineLevel="0" collapsed="false">
      <c r="A383" s="11" t="s">
        <v>2248</v>
      </c>
      <c r="B383" s="11" t="s">
        <v>44</v>
      </c>
      <c r="C383" s="2" t="s">
        <v>2249</v>
      </c>
      <c r="D383" s="11" t="n">
        <v>2023</v>
      </c>
      <c r="E383" s="11" t="s">
        <v>143</v>
      </c>
      <c r="F383" s="11" t="s">
        <v>2250</v>
      </c>
      <c r="G383" s="11" t="s">
        <v>2251</v>
      </c>
      <c r="H383" s="12" t="s">
        <v>2252</v>
      </c>
      <c r="I383" s="11" t="s">
        <v>147</v>
      </c>
      <c r="J383" s="11"/>
      <c r="K383" s="11" t="s">
        <v>115</v>
      </c>
      <c r="L383" s="11" t="s">
        <v>116</v>
      </c>
      <c r="M383" s="11" t="s">
        <v>210</v>
      </c>
      <c r="N383" s="10"/>
      <c r="O383" s="11" t="str">
        <f aca="false">IF(N383="",IF(I383="Include","Include",J383),N383)</f>
        <v>Include</v>
      </c>
      <c r="P383" s="11" t="s">
        <v>2253</v>
      </c>
    </row>
    <row r="384" customFormat="false" ht="35.05" hidden="false" customHeight="false" outlineLevel="0" collapsed="false">
      <c r="A384" s="8" t="s">
        <v>2254</v>
      </c>
      <c r="B384" s="8" t="s">
        <v>44</v>
      </c>
      <c r="C384" s="9" t="s">
        <v>2255</v>
      </c>
      <c r="D384" s="8" t="n">
        <v>2023</v>
      </c>
      <c r="E384" s="8" t="s">
        <v>143</v>
      </c>
      <c r="F384" s="8" t="s">
        <v>2256</v>
      </c>
      <c r="G384" s="8" t="s">
        <v>2257</v>
      </c>
      <c r="H384" s="13" t="s">
        <v>2258</v>
      </c>
      <c r="I384" s="8" t="s">
        <v>139</v>
      </c>
      <c r="J384" s="8" t="s">
        <v>85</v>
      </c>
      <c r="K384" s="8"/>
      <c r="L384" s="8"/>
      <c r="M384" s="8"/>
      <c r="N384" s="10"/>
      <c r="O384" s="11" t="str">
        <f aca="false">IF(N384="",IF(I384="Include","Include",J384),N384)</f>
        <v>EC6</v>
      </c>
      <c r="P384" s="11" t="s">
        <v>2259</v>
      </c>
    </row>
    <row r="385" customFormat="false" ht="23.85" hidden="false" customHeight="false" outlineLevel="0" collapsed="false">
      <c r="A385" s="8" t="s">
        <v>2260</v>
      </c>
      <c r="B385" s="8" t="s">
        <v>44</v>
      </c>
      <c r="C385" s="9" t="s">
        <v>2261</v>
      </c>
      <c r="D385" s="8" t="n">
        <v>2025</v>
      </c>
      <c r="E385" s="8" t="s">
        <v>171</v>
      </c>
      <c r="F385" s="8" t="s">
        <v>2262</v>
      </c>
      <c r="G385" s="8" t="s">
        <v>2222</v>
      </c>
      <c r="H385" s="13" t="s">
        <v>2263</v>
      </c>
      <c r="I385" s="8" t="s">
        <v>139</v>
      </c>
      <c r="J385" s="8" t="s">
        <v>85</v>
      </c>
      <c r="K385" s="8"/>
      <c r="L385" s="8"/>
      <c r="M385" s="8"/>
      <c r="N385" s="10"/>
      <c r="O385" s="11" t="str">
        <f aca="false">IF(N385="",IF(I385="Include","Include",J385),N385)</f>
        <v>EC6</v>
      </c>
      <c r="P385" s="11" t="s">
        <v>2264</v>
      </c>
    </row>
    <row r="386" customFormat="false" ht="15" hidden="false" customHeight="false" outlineLevel="0" collapsed="false">
      <c r="A386" s="8" t="s">
        <v>2265</v>
      </c>
      <c r="B386" s="8" t="s">
        <v>44</v>
      </c>
      <c r="C386" s="9" t="s">
        <v>2266</v>
      </c>
      <c r="D386" s="8" t="n">
        <v>2026</v>
      </c>
      <c r="E386" s="8" t="s">
        <v>143</v>
      </c>
      <c r="F386" s="8" t="s">
        <v>2267</v>
      </c>
      <c r="G386" s="8" t="s">
        <v>2268</v>
      </c>
      <c r="H386" s="13" t="s">
        <v>2269</v>
      </c>
      <c r="I386" s="8" t="s">
        <v>139</v>
      </c>
      <c r="J386" s="8" t="s">
        <v>85</v>
      </c>
      <c r="K386" s="8"/>
      <c r="L386" s="8"/>
      <c r="M386" s="8"/>
      <c r="N386" s="10"/>
      <c r="O386" s="11" t="str">
        <f aca="false">IF(N386="",IF(I386="Include","Include",J386),N386)</f>
        <v>EC6</v>
      </c>
      <c r="P386" s="11" t="s">
        <v>2270</v>
      </c>
    </row>
    <row r="387" customFormat="false" ht="23.85" hidden="false" customHeight="false" outlineLevel="0" collapsed="false">
      <c r="A387" s="8" t="s">
        <v>2271</v>
      </c>
      <c r="B387" s="8" t="s">
        <v>44</v>
      </c>
      <c r="C387" s="9" t="s">
        <v>2272</v>
      </c>
      <c r="D387" s="8" t="n">
        <v>2026</v>
      </c>
      <c r="E387" s="8" t="s">
        <v>171</v>
      </c>
      <c r="F387" s="8" t="s">
        <v>2273</v>
      </c>
      <c r="G387" s="8" t="s">
        <v>2274</v>
      </c>
      <c r="H387" s="13" t="s">
        <v>2275</v>
      </c>
      <c r="I387" s="8" t="s">
        <v>139</v>
      </c>
      <c r="J387" s="8" t="s">
        <v>85</v>
      </c>
      <c r="K387" s="8"/>
      <c r="L387" s="8"/>
      <c r="M387" s="8"/>
      <c r="N387" s="10"/>
      <c r="O387" s="11" t="str">
        <f aca="false">IF(N387="",IF(I387="Include","Include",J387),N387)</f>
        <v>EC6</v>
      </c>
      <c r="P387" s="11" t="s">
        <v>2276</v>
      </c>
    </row>
    <row r="388" customFormat="false" ht="35.05" hidden="false" customHeight="false" outlineLevel="0" collapsed="false">
      <c r="A388" s="11" t="s">
        <v>2277</v>
      </c>
      <c r="B388" s="11" t="s">
        <v>44</v>
      </c>
      <c r="C388" s="2" t="s">
        <v>2278</v>
      </c>
      <c r="D388" s="11" t="n">
        <v>2026</v>
      </c>
      <c r="E388" s="11" t="s">
        <v>171</v>
      </c>
      <c r="F388" s="11" t="s">
        <v>2279</v>
      </c>
      <c r="G388" s="11" t="s">
        <v>2151</v>
      </c>
      <c r="H388" s="12" t="s">
        <v>2280</v>
      </c>
      <c r="I388" s="11" t="s">
        <v>147</v>
      </c>
      <c r="J388" s="11"/>
      <c r="K388" s="11" t="s">
        <v>115</v>
      </c>
      <c r="L388" s="11" t="s">
        <v>120</v>
      </c>
      <c r="M388" s="11" t="s">
        <v>148</v>
      </c>
      <c r="N388" s="10"/>
      <c r="O388" s="11" t="str">
        <f aca="false">IF(N388="",IF(I388="Include","Include",J388),N388)</f>
        <v>Include</v>
      </c>
      <c r="P388" s="11" t="s">
        <v>2281</v>
      </c>
    </row>
    <row r="389" customFormat="false" ht="15" hidden="false" customHeight="false" outlineLevel="0" collapsed="false">
      <c r="A389" s="11" t="s">
        <v>2282</v>
      </c>
      <c r="B389" s="11" t="s">
        <v>44</v>
      </c>
      <c r="C389" s="2" t="s">
        <v>2283</v>
      </c>
      <c r="D389" s="11" t="n">
        <v>2023</v>
      </c>
      <c r="E389" s="11" t="s">
        <v>143</v>
      </c>
      <c r="F389" s="11" t="s">
        <v>2284</v>
      </c>
      <c r="G389" s="11" t="s">
        <v>2228</v>
      </c>
      <c r="H389" s="12" t="s">
        <v>2285</v>
      </c>
      <c r="I389" s="11" t="s">
        <v>147</v>
      </c>
      <c r="J389" s="11"/>
      <c r="K389" s="11" t="s">
        <v>115</v>
      </c>
      <c r="L389" s="11" t="s">
        <v>116</v>
      </c>
      <c r="M389" s="11" t="s">
        <v>161</v>
      </c>
      <c r="N389" s="10"/>
      <c r="O389" s="11" t="str">
        <f aca="false">IF(N389="",IF(I389="Include","Include",J389),N389)</f>
        <v>Include</v>
      </c>
      <c r="P389" s="11" t="s">
        <v>2286</v>
      </c>
    </row>
    <row r="390" customFormat="false" ht="35.05" hidden="false" customHeight="false" outlineLevel="0" collapsed="false">
      <c r="A390" s="8" t="s">
        <v>2287</v>
      </c>
      <c r="B390" s="8" t="s">
        <v>44</v>
      </c>
      <c r="C390" s="9" t="s">
        <v>2288</v>
      </c>
      <c r="D390" s="8" t="n">
        <v>2025</v>
      </c>
      <c r="E390" s="8" t="s">
        <v>171</v>
      </c>
      <c r="F390" s="8" t="s">
        <v>2289</v>
      </c>
      <c r="G390" s="8" t="s">
        <v>1200</v>
      </c>
      <c r="H390" s="13" t="s">
        <v>2290</v>
      </c>
      <c r="I390" s="8" t="s">
        <v>139</v>
      </c>
      <c r="J390" s="8" t="s">
        <v>85</v>
      </c>
      <c r="K390" s="8"/>
      <c r="L390" s="8"/>
      <c r="M390" s="8"/>
      <c r="N390" s="10"/>
      <c r="O390" s="11" t="str">
        <f aca="false">IF(N390="",IF(I390="Include","Include",J390),N390)</f>
        <v>EC6</v>
      </c>
      <c r="P390" s="11" t="s">
        <v>2291</v>
      </c>
    </row>
    <row r="391" customFormat="false" ht="15" hidden="false" customHeight="false" outlineLevel="0" collapsed="false">
      <c r="A391" s="8" t="s">
        <v>2292</v>
      </c>
      <c r="B391" s="8" t="s">
        <v>44</v>
      </c>
      <c r="C391" s="9" t="s">
        <v>2293</v>
      </c>
      <c r="D391" s="8" t="n">
        <v>2024</v>
      </c>
      <c r="E391" s="8" t="s">
        <v>143</v>
      </c>
      <c r="F391" s="8" t="s">
        <v>2294</v>
      </c>
      <c r="G391" s="8" t="s">
        <v>1924</v>
      </c>
      <c r="H391" s="13" t="s">
        <v>2295</v>
      </c>
      <c r="I391" s="8" t="s">
        <v>139</v>
      </c>
      <c r="J391" s="8" t="s">
        <v>83</v>
      </c>
      <c r="K391" s="8"/>
      <c r="L391" s="8"/>
      <c r="M391" s="8"/>
      <c r="N391" s="10"/>
      <c r="O391" s="11" t="str">
        <f aca="false">IF(N391="",IF(I391="Include","Include",J391),N391)</f>
        <v>EC5</v>
      </c>
      <c r="P391" s="11" t="s">
        <v>2296</v>
      </c>
    </row>
    <row r="392" customFormat="false" ht="15" hidden="false" customHeight="false" outlineLevel="0" collapsed="false">
      <c r="A392" s="8" t="s">
        <v>2297</v>
      </c>
      <c r="B392" s="8" t="s">
        <v>44</v>
      </c>
      <c r="C392" s="9" t="s">
        <v>2298</v>
      </c>
      <c r="D392" s="8" t="n">
        <v>2020</v>
      </c>
      <c r="E392" s="8" t="s">
        <v>171</v>
      </c>
      <c r="F392" s="8" t="s">
        <v>2299</v>
      </c>
      <c r="G392" s="8" t="s">
        <v>2300</v>
      </c>
      <c r="H392" s="13" t="s">
        <v>2301</v>
      </c>
      <c r="I392" s="8" t="s">
        <v>139</v>
      </c>
      <c r="J392" s="8" t="s">
        <v>75</v>
      </c>
      <c r="K392" s="8"/>
      <c r="L392" s="8"/>
      <c r="M392" s="8"/>
      <c r="N392" s="10"/>
      <c r="O392" s="11" t="str">
        <f aca="false">IF(N392="",IF(I392="Include","Include",J392),N392)</f>
        <v>EC1</v>
      </c>
      <c r="P392" s="11" t="s">
        <v>2302</v>
      </c>
    </row>
    <row r="393" customFormat="false" ht="23.85" hidden="false" customHeight="false" outlineLevel="0" collapsed="false">
      <c r="A393" s="11" t="s">
        <v>2303</v>
      </c>
      <c r="B393" s="11" t="s">
        <v>44</v>
      </c>
      <c r="C393" s="2" t="s">
        <v>2304</v>
      </c>
      <c r="D393" s="11" t="n">
        <v>2026</v>
      </c>
      <c r="E393" s="11" t="s">
        <v>171</v>
      </c>
      <c r="F393" s="11" t="s">
        <v>2305</v>
      </c>
      <c r="G393" s="11" t="s">
        <v>2306</v>
      </c>
      <c r="H393" s="12" t="s">
        <v>2307</v>
      </c>
      <c r="I393" s="11" t="s">
        <v>147</v>
      </c>
      <c r="J393" s="11"/>
      <c r="K393" s="11" t="s">
        <v>115</v>
      </c>
      <c r="L393" s="11" t="s">
        <v>120</v>
      </c>
      <c r="M393" s="11" t="s">
        <v>148</v>
      </c>
      <c r="N393" s="10"/>
      <c r="O393" s="11" t="str">
        <f aca="false">IF(N393="",IF(I393="Include","Include",J393),N393)</f>
        <v>Include</v>
      </c>
      <c r="P393" s="11" t="s">
        <v>2308</v>
      </c>
    </row>
    <row r="394" customFormat="false" ht="23.85" hidden="false" customHeight="false" outlineLevel="0" collapsed="false">
      <c r="A394" s="8" t="s">
        <v>2309</v>
      </c>
      <c r="B394" s="8" t="s">
        <v>44</v>
      </c>
      <c r="C394" s="9" t="s">
        <v>2310</v>
      </c>
      <c r="D394" s="8" t="n">
        <v>2026</v>
      </c>
      <c r="E394" s="8" t="s">
        <v>143</v>
      </c>
      <c r="F394" s="8" t="s">
        <v>2311</v>
      </c>
      <c r="G394" s="8" t="s">
        <v>481</v>
      </c>
      <c r="H394" s="13" t="s">
        <v>2312</v>
      </c>
      <c r="I394" s="8" t="s">
        <v>139</v>
      </c>
      <c r="J394" s="8" t="s">
        <v>85</v>
      </c>
      <c r="K394" s="8"/>
      <c r="L394" s="8"/>
      <c r="M394" s="8"/>
      <c r="N394" s="10"/>
      <c r="O394" s="11" t="str">
        <f aca="false">IF(N394="",IF(I394="Include","Include",J394),N394)</f>
        <v>EC6</v>
      </c>
      <c r="P394" s="11" t="s">
        <v>2313</v>
      </c>
    </row>
    <row r="395" customFormat="false" ht="23.85" hidden="false" customHeight="false" outlineLevel="0" collapsed="false">
      <c r="A395" s="11" t="s">
        <v>2314</v>
      </c>
      <c r="B395" s="11" t="s">
        <v>44</v>
      </c>
      <c r="C395" s="2" t="s">
        <v>2315</v>
      </c>
      <c r="D395" s="11" t="n">
        <v>2023</v>
      </c>
      <c r="E395" s="11" t="s">
        <v>143</v>
      </c>
      <c r="F395" s="11" t="s">
        <v>2316</v>
      </c>
      <c r="G395" s="11" t="s">
        <v>1861</v>
      </c>
      <c r="H395" s="12" t="s">
        <v>2317</v>
      </c>
      <c r="I395" s="11" t="s">
        <v>147</v>
      </c>
      <c r="J395" s="11"/>
      <c r="K395" s="11" t="s">
        <v>115</v>
      </c>
      <c r="L395" s="11" t="s">
        <v>118</v>
      </c>
      <c r="M395" s="11" t="s">
        <v>161</v>
      </c>
      <c r="N395" s="10"/>
      <c r="O395" s="11" t="str">
        <f aca="false">IF(N395="",IF(I395="Include","Include",J395),N395)</f>
        <v>Include</v>
      </c>
      <c r="P395" s="11" t="s">
        <v>2318</v>
      </c>
    </row>
    <row r="396" customFormat="false" ht="23.85" hidden="false" customHeight="false" outlineLevel="0" collapsed="false">
      <c r="A396" s="8" t="s">
        <v>2319</v>
      </c>
      <c r="B396" s="8" t="s">
        <v>44</v>
      </c>
      <c r="C396" s="9" t="s">
        <v>2320</v>
      </c>
      <c r="D396" s="8" t="n">
        <v>2026</v>
      </c>
      <c r="E396" s="8" t="s">
        <v>171</v>
      </c>
      <c r="F396" s="8" t="s">
        <v>2321</v>
      </c>
      <c r="G396" s="8" t="s">
        <v>2222</v>
      </c>
      <c r="H396" s="13" t="s">
        <v>2322</v>
      </c>
      <c r="I396" s="8" t="s">
        <v>139</v>
      </c>
      <c r="J396" s="8" t="s">
        <v>85</v>
      </c>
      <c r="K396" s="8"/>
      <c r="L396" s="8"/>
      <c r="M396" s="8"/>
      <c r="N396" s="10"/>
      <c r="O396" s="11" t="str">
        <f aca="false">IF(N396="",IF(I396="Include","Include",J396),N396)</f>
        <v>EC6</v>
      </c>
      <c r="P396" s="11" t="s">
        <v>2323</v>
      </c>
    </row>
    <row r="397" customFormat="false" ht="23.85" hidden="false" customHeight="false" outlineLevel="0" collapsed="false">
      <c r="A397" s="11" t="s">
        <v>2324</v>
      </c>
      <c r="B397" s="11" t="s">
        <v>44</v>
      </c>
      <c r="C397" s="2" t="s">
        <v>2325</v>
      </c>
      <c r="D397" s="11" t="n">
        <v>2025</v>
      </c>
      <c r="E397" s="11" t="s">
        <v>171</v>
      </c>
      <c r="F397" s="11" t="s">
        <v>2326</v>
      </c>
      <c r="G397" s="11" t="s">
        <v>2306</v>
      </c>
      <c r="H397" s="12" t="s">
        <v>2327</v>
      </c>
      <c r="I397" s="11" t="s">
        <v>147</v>
      </c>
      <c r="J397" s="11"/>
      <c r="K397" s="11" t="s">
        <v>115</v>
      </c>
      <c r="L397" s="11" t="s">
        <v>118</v>
      </c>
      <c r="M397" s="11" t="s">
        <v>161</v>
      </c>
      <c r="N397" s="10"/>
      <c r="O397" s="11" t="str">
        <f aca="false">IF(N397="",IF(I397="Include","Include",J397),N397)</f>
        <v>Include</v>
      </c>
      <c r="P397" s="11" t="s">
        <v>2328</v>
      </c>
    </row>
    <row r="398" customFormat="false" ht="23.85" hidden="false" customHeight="false" outlineLevel="0" collapsed="false">
      <c r="A398" s="11" t="s">
        <v>2329</v>
      </c>
      <c r="B398" s="11" t="s">
        <v>44</v>
      </c>
      <c r="C398" s="2" t="s">
        <v>2330</v>
      </c>
      <c r="D398" s="11" t="n">
        <v>2026</v>
      </c>
      <c r="E398" s="11" t="s">
        <v>171</v>
      </c>
      <c r="F398" s="11" t="s">
        <v>2331</v>
      </c>
      <c r="G398" s="11" t="s">
        <v>2332</v>
      </c>
      <c r="H398" s="12" t="s">
        <v>2333</v>
      </c>
      <c r="I398" s="11" t="s">
        <v>147</v>
      </c>
      <c r="J398" s="11"/>
      <c r="K398" s="11" t="s">
        <v>115</v>
      </c>
      <c r="L398" s="11" t="s">
        <v>120</v>
      </c>
      <c r="M398" s="11" t="s">
        <v>161</v>
      </c>
      <c r="N398" s="10"/>
      <c r="O398" s="11" t="str">
        <f aca="false">IF(N398="",IF(I398="Include","Include",J398),N398)</f>
        <v>Include</v>
      </c>
      <c r="P398" s="11" t="s">
        <v>2334</v>
      </c>
    </row>
    <row r="399" customFormat="false" ht="23.85" hidden="false" customHeight="false" outlineLevel="0" collapsed="false">
      <c r="A399" s="8" t="s">
        <v>2335</v>
      </c>
      <c r="B399" s="8" t="s">
        <v>44</v>
      </c>
      <c r="C399" s="9" t="s">
        <v>2336</v>
      </c>
      <c r="D399" s="8" t="n">
        <v>2019</v>
      </c>
      <c r="E399" s="8" t="s">
        <v>143</v>
      </c>
      <c r="F399" s="8" t="s">
        <v>2337</v>
      </c>
      <c r="G399" s="8" t="s">
        <v>882</v>
      </c>
      <c r="H399" s="13" t="s">
        <v>2338</v>
      </c>
      <c r="I399" s="8" t="s">
        <v>139</v>
      </c>
      <c r="J399" s="8" t="s">
        <v>85</v>
      </c>
      <c r="K399" s="8"/>
      <c r="L399" s="8"/>
      <c r="M399" s="8"/>
      <c r="N399" s="10"/>
      <c r="O399" s="11" t="str">
        <f aca="false">IF(N399="",IF(I399="Include","Include",J399),N399)</f>
        <v>EC6</v>
      </c>
      <c r="P399" s="11" t="s">
        <v>2339</v>
      </c>
    </row>
    <row r="400" customFormat="false" ht="23.85" hidden="false" customHeight="false" outlineLevel="0" collapsed="false">
      <c r="A400" s="8" t="s">
        <v>2340</v>
      </c>
      <c r="B400" s="8" t="s">
        <v>44</v>
      </c>
      <c r="C400" s="9" t="s">
        <v>2341</v>
      </c>
      <c r="D400" s="8" t="n">
        <v>2026</v>
      </c>
      <c r="E400" s="8" t="s">
        <v>143</v>
      </c>
      <c r="F400" s="8" t="s">
        <v>2342</v>
      </c>
      <c r="G400" s="8" t="s">
        <v>2343</v>
      </c>
      <c r="H400" s="13" t="s">
        <v>2344</v>
      </c>
      <c r="I400" s="8" t="s">
        <v>139</v>
      </c>
      <c r="J400" s="8" t="s">
        <v>85</v>
      </c>
      <c r="K400" s="8"/>
      <c r="L400" s="8"/>
      <c r="M400" s="8"/>
      <c r="N400" s="10"/>
      <c r="O400" s="11" t="str">
        <f aca="false">IF(N400="",IF(I400="Include","Include",J400),N400)</f>
        <v>EC6</v>
      </c>
      <c r="P400" s="11" t="s">
        <v>2345</v>
      </c>
    </row>
    <row r="401" customFormat="false" ht="23.85" hidden="false" customHeight="false" outlineLevel="0" collapsed="false">
      <c r="A401" s="8" t="s">
        <v>2346</v>
      </c>
      <c r="B401" s="8" t="s">
        <v>44</v>
      </c>
      <c r="C401" s="9" t="s">
        <v>2347</v>
      </c>
      <c r="D401" s="8" t="n">
        <v>2026</v>
      </c>
      <c r="E401" s="8" t="s">
        <v>171</v>
      </c>
      <c r="F401" s="8" t="s">
        <v>2348</v>
      </c>
      <c r="G401" s="8" t="s">
        <v>459</v>
      </c>
      <c r="H401" s="13" t="s">
        <v>2349</v>
      </c>
      <c r="I401" s="8" t="s">
        <v>139</v>
      </c>
      <c r="J401" s="8" t="s">
        <v>85</v>
      </c>
      <c r="K401" s="8"/>
      <c r="L401" s="8"/>
      <c r="M401" s="8"/>
      <c r="N401" s="10"/>
      <c r="O401" s="11" t="str">
        <f aca="false">IF(N401="",IF(I401="Include","Include",J401),N401)</f>
        <v>EC6</v>
      </c>
      <c r="P401" s="11" t="s">
        <v>2350</v>
      </c>
    </row>
    <row r="402" customFormat="false" ht="23.85" hidden="false" customHeight="false" outlineLevel="0" collapsed="false">
      <c r="A402" s="8" t="s">
        <v>2351</v>
      </c>
      <c r="B402" s="8" t="s">
        <v>44</v>
      </c>
      <c r="C402" s="9" t="s">
        <v>2352</v>
      </c>
      <c r="D402" s="8" t="n">
        <v>2025</v>
      </c>
      <c r="E402" s="8" t="s">
        <v>143</v>
      </c>
      <c r="F402" s="8" t="s">
        <v>2353</v>
      </c>
      <c r="G402" s="8" t="s">
        <v>2354</v>
      </c>
      <c r="H402" s="13" t="s">
        <v>2355</v>
      </c>
      <c r="I402" s="8" t="s">
        <v>139</v>
      </c>
      <c r="J402" s="8" t="s">
        <v>85</v>
      </c>
      <c r="K402" s="8"/>
      <c r="L402" s="8"/>
      <c r="M402" s="8"/>
      <c r="N402" s="10"/>
      <c r="O402" s="11" t="str">
        <f aca="false">IF(N402="",IF(I402="Include","Include",J402),N402)</f>
        <v>EC6</v>
      </c>
      <c r="P402" s="11" t="s">
        <v>2356</v>
      </c>
    </row>
    <row r="403" customFormat="false" ht="15" hidden="false" customHeight="false" outlineLevel="0" collapsed="false">
      <c r="A403" s="11" t="s">
        <v>2357</v>
      </c>
      <c r="B403" s="11" t="s">
        <v>44</v>
      </c>
      <c r="C403" s="2" t="s">
        <v>2358</v>
      </c>
      <c r="D403" s="11" t="n">
        <v>2024</v>
      </c>
      <c r="E403" s="11" t="s">
        <v>171</v>
      </c>
      <c r="F403" s="11" t="s">
        <v>2359</v>
      </c>
      <c r="G403" s="11" t="s">
        <v>285</v>
      </c>
      <c r="H403" s="12" t="s">
        <v>2360</v>
      </c>
      <c r="I403" s="11" t="s">
        <v>147</v>
      </c>
      <c r="J403" s="11"/>
      <c r="K403" s="11" t="s">
        <v>115</v>
      </c>
      <c r="L403" s="11" t="s">
        <v>118</v>
      </c>
      <c r="M403" s="11" t="s">
        <v>148</v>
      </c>
      <c r="N403" s="10"/>
      <c r="O403" s="11" t="str">
        <f aca="false">IF(N403="",IF(I403="Include","Include",J403),N403)</f>
        <v>Include</v>
      </c>
      <c r="P403" s="11" t="s">
        <v>2361</v>
      </c>
    </row>
    <row r="404" customFormat="false" ht="23.85" hidden="false" customHeight="false" outlineLevel="0" collapsed="false">
      <c r="A404" s="8" t="s">
        <v>2362</v>
      </c>
      <c r="B404" s="8" t="s">
        <v>44</v>
      </c>
      <c r="C404" s="9" t="s">
        <v>2363</v>
      </c>
      <c r="D404" s="8" t="n">
        <v>2026</v>
      </c>
      <c r="E404" s="8" t="s">
        <v>143</v>
      </c>
      <c r="F404" s="8" t="s">
        <v>2364</v>
      </c>
      <c r="G404" s="8" t="s">
        <v>2365</v>
      </c>
      <c r="H404" s="13" t="s">
        <v>2366</v>
      </c>
      <c r="I404" s="8" t="s">
        <v>139</v>
      </c>
      <c r="J404" s="8" t="s">
        <v>85</v>
      </c>
      <c r="K404" s="8"/>
      <c r="L404" s="8"/>
      <c r="M404" s="8"/>
      <c r="N404" s="10"/>
      <c r="O404" s="11" t="str">
        <f aca="false">IF(N404="",IF(I404="Include","Include",J404),N404)</f>
        <v>EC6</v>
      </c>
      <c r="P404" s="11" t="s">
        <v>2367</v>
      </c>
    </row>
    <row r="405" customFormat="false" ht="23.85" hidden="false" customHeight="false" outlineLevel="0" collapsed="false">
      <c r="A405" s="8" t="s">
        <v>2368</v>
      </c>
      <c r="B405" s="8" t="s">
        <v>44</v>
      </c>
      <c r="C405" s="9" t="s">
        <v>2369</v>
      </c>
      <c r="D405" s="8" t="n">
        <v>2026</v>
      </c>
      <c r="E405" s="8" t="s">
        <v>143</v>
      </c>
      <c r="F405" s="8" t="s">
        <v>2370</v>
      </c>
      <c r="G405" s="8" t="s">
        <v>2371</v>
      </c>
      <c r="H405" s="13" t="s">
        <v>2372</v>
      </c>
      <c r="I405" s="8" t="s">
        <v>139</v>
      </c>
      <c r="J405" s="8" t="s">
        <v>85</v>
      </c>
      <c r="K405" s="8"/>
      <c r="L405" s="8"/>
      <c r="M405" s="8"/>
      <c r="N405" s="10"/>
      <c r="O405" s="11" t="str">
        <f aca="false">IF(N405="",IF(I405="Include","Include",J405),N405)</f>
        <v>EC6</v>
      </c>
      <c r="P405" s="11" t="s">
        <v>2373</v>
      </c>
    </row>
    <row r="406" customFormat="false" ht="23.85" hidden="false" customHeight="false" outlineLevel="0" collapsed="false">
      <c r="A406" s="11" t="s">
        <v>2374</v>
      </c>
      <c r="B406" s="11" t="s">
        <v>44</v>
      </c>
      <c r="C406" s="2" t="s">
        <v>2375</v>
      </c>
      <c r="D406" s="11" t="n">
        <v>2025</v>
      </c>
      <c r="E406" s="11" t="s">
        <v>143</v>
      </c>
      <c r="F406" s="11" t="s">
        <v>2376</v>
      </c>
      <c r="G406" s="11" t="s">
        <v>2377</v>
      </c>
      <c r="H406" s="12" t="s">
        <v>2378</v>
      </c>
      <c r="I406" s="11" t="s">
        <v>147</v>
      </c>
      <c r="J406" s="11"/>
      <c r="K406" s="11" t="s">
        <v>115</v>
      </c>
      <c r="L406" s="11" t="s">
        <v>120</v>
      </c>
      <c r="M406" s="11" t="s">
        <v>210</v>
      </c>
      <c r="N406" s="10"/>
      <c r="O406" s="11" t="str">
        <f aca="false">IF(N406="",IF(I406="Include","Include",J406),N406)</f>
        <v>Include</v>
      </c>
      <c r="P406" s="11" t="s">
        <v>2379</v>
      </c>
    </row>
    <row r="407" customFormat="false" ht="15" hidden="false" customHeight="false" outlineLevel="0" collapsed="false">
      <c r="A407" s="11" t="s">
        <v>2380</v>
      </c>
      <c r="B407" s="11" t="s">
        <v>44</v>
      </c>
      <c r="C407" s="2" t="s">
        <v>2381</v>
      </c>
      <c r="D407" s="11" t="n">
        <v>2026</v>
      </c>
      <c r="E407" s="11" t="s">
        <v>143</v>
      </c>
      <c r="F407" s="11" t="s">
        <v>2382</v>
      </c>
      <c r="G407" s="11" t="s">
        <v>2383</v>
      </c>
      <c r="H407" s="12" t="s">
        <v>2384</v>
      </c>
      <c r="I407" s="11" t="s">
        <v>147</v>
      </c>
      <c r="J407" s="11"/>
      <c r="K407" s="11" t="s">
        <v>115</v>
      </c>
      <c r="L407" s="11" t="s">
        <v>118</v>
      </c>
      <c r="M407" s="11" t="s">
        <v>161</v>
      </c>
      <c r="N407" s="10"/>
      <c r="O407" s="11" t="str">
        <f aca="false">IF(N407="",IF(I407="Include","Include",J407),N407)</f>
        <v>Include</v>
      </c>
      <c r="P407" s="11" t="s">
        <v>2385</v>
      </c>
    </row>
    <row r="408" customFormat="false" ht="23.85" hidden="false" customHeight="false" outlineLevel="0" collapsed="false">
      <c r="A408" s="11" t="s">
        <v>2386</v>
      </c>
      <c r="B408" s="11" t="s">
        <v>44</v>
      </c>
      <c r="C408" s="2" t="s">
        <v>2387</v>
      </c>
      <c r="D408" s="11" t="n">
        <v>2025</v>
      </c>
      <c r="E408" s="11" t="s">
        <v>143</v>
      </c>
      <c r="F408" s="11" t="s">
        <v>2388</v>
      </c>
      <c r="G408" s="11" t="s">
        <v>2389</v>
      </c>
      <c r="H408" s="12" t="s">
        <v>2390</v>
      </c>
      <c r="I408" s="11" t="s">
        <v>147</v>
      </c>
      <c r="J408" s="11"/>
      <c r="K408" s="11" t="s">
        <v>115</v>
      </c>
      <c r="L408" s="11" t="s">
        <v>118</v>
      </c>
      <c r="M408" s="11" t="s">
        <v>148</v>
      </c>
      <c r="N408" s="10"/>
      <c r="O408" s="11" t="str">
        <f aca="false">IF(N408="",IF(I408="Include","Include",J408),N408)</f>
        <v>Include</v>
      </c>
      <c r="P408" s="11" t="s">
        <v>2391</v>
      </c>
    </row>
    <row r="409" customFormat="false" ht="23.85" hidden="false" customHeight="false" outlineLevel="0" collapsed="false">
      <c r="A409" s="8" t="s">
        <v>2392</v>
      </c>
      <c r="B409" s="8" t="s">
        <v>44</v>
      </c>
      <c r="C409" s="9" t="s">
        <v>2393</v>
      </c>
      <c r="D409" s="8" t="n">
        <v>2025</v>
      </c>
      <c r="E409" s="8" t="s">
        <v>143</v>
      </c>
      <c r="F409" s="8" t="s">
        <v>2394</v>
      </c>
      <c r="G409" s="8" t="s">
        <v>2395</v>
      </c>
      <c r="H409" s="13" t="s">
        <v>2396</v>
      </c>
      <c r="I409" s="8" t="s">
        <v>139</v>
      </c>
      <c r="J409" s="8" t="s">
        <v>85</v>
      </c>
      <c r="K409" s="8"/>
      <c r="L409" s="8"/>
      <c r="M409" s="8"/>
      <c r="N409" s="10"/>
      <c r="O409" s="11" t="str">
        <f aca="false">IF(N409="",IF(I409="Include","Include",J409),N409)</f>
        <v>EC6</v>
      </c>
      <c r="P409" s="11" t="s">
        <v>2397</v>
      </c>
    </row>
    <row r="410" customFormat="false" ht="23.85" hidden="false" customHeight="false" outlineLevel="0" collapsed="false">
      <c r="A410" s="11" t="s">
        <v>2398</v>
      </c>
      <c r="B410" s="11" t="s">
        <v>44</v>
      </c>
      <c r="C410" s="2" t="s">
        <v>2399</v>
      </c>
      <c r="D410" s="11" t="n">
        <v>2026</v>
      </c>
      <c r="E410" s="11" t="s">
        <v>143</v>
      </c>
      <c r="F410" s="11" t="s">
        <v>2400</v>
      </c>
      <c r="G410" s="11" t="s">
        <v>1884</v>
      </c>
      <c r="H410" s="12" t="s">
        <v>2401</v>
      </c>
      <c r="I410" s="11" t="s">
        <v>147</v>
      </c>
      <c r="J410" s="11"/>
      <c r="K410" s="11" t="s">
        <v>115</v>
      </c>
      <c r="L410" s="11" t="s">
        <v>118</v>
      </c>
      <c r="M410" s="11" t="s">
        <v>161</v>
      </c>
      <c r="N410" s="10"/>
      <c r="O410" s="11" t="str">
        <f aca="false">IF(N410="",IF(I410="Include","Include",J410),N410)</f>
        <v>Include</v>
      </c>
      <c r="P410" s="11" t="s">
        <v>2402</v>
      </c>
    </row>
    <row r="411" customFormat="false" ht="23.85" hidden="false" customHeight="false" outlineLevel="0" collapsed="false">
      <c r="A411" s="8" t="s">
        <v>2403</v>
      </c>
      <c r="B411" s="8" t="s">
        <v>44</v>
      </c>
      <c r="C411" s="9" t="s">
        <v>2404</v>
      </c>
      <c r="D411" s="8" t="n">
        <v>2026</v>
      </c>
      <c r="E411" s="8" t="s">
        <v>171</v>
      </c>
      <c r="F411" s="8" t="s">
        <v>2405</v>
      </c>
      <c r="G411" s="8" t="s">
        <v>2134</v>
      </c>
      <c r="H411" s="13" t="s">
        <v>2406</v>
      </c>
      <c r="I411" s="8" t="s">
        <v>139</v>
      </c>
      <c r="J411" s="8" t="s">
        <v>85</v>
      </c>
      <c r="K411" s="8"/>
      <c r="L411" s="8"/>
      <c r="M411" s="8"/>
      <c r="N411" s="10"/>
      <c r="O411" s="11" t="str">
        <f aca="false">IF(N411="",IF(I411="Include","Include",J411),N411)</f>
        <v>EC6</v>
      </c>
      <c r="P411" s="11" t="s">
        <v>2407</v>
      </c>
    </row>
    <row r="412" customFormat="false" ht="15" hidden="false" customHeight="false" outlineLevel="0" collapsed="false">
      <c r="A412" s="11" t="s">
        <v>2408</v>
      </c>
      <c r="B412" s="11" t="s">
        <v>44</v>
      </c>
      <c r="C412" s="2" t="s">
        <v>2409</v>
      </c>
      <c r="D412" s="11" t="n">
        <v>2025</v>
      </c>
      <c r="E412" s="11" t="s">
        <v>143</v>
      </c>
      <c r="F412" s="11" t="s">
        <v>2410</v>
      </c>
      <c r="G412" s="11" t="s">
        <v>2411</v>
      </c>
      <c r="H412" s="12" t="s">
        <v>2412</v>
      </c>
      <c r="I412" s="11" t="s">
        <v>147</v>
      </c>
      <c r="J412" s="11"/>
      <c r="K412" s="11" t="s">
        <v>115</v>
      </c>
      <c r="L412" s="11" t="s">
        <v>120</v>
      </c>
      <c r="M412" s="11" t="s">
        <v>161</v>
      </c>
      <c r="N412" s="10"/>
      <c r="O412" s="11" t="str">
        <f aca="false">IF(N412="",IF(I412="Include","Include",J412),N412)</f>
        <v>Include</v>
      </c>
      <c r="P412" s="11" t="s">
        <v>2413</v>
      </c>
    </row>
    <row r="413" customFormat="false" ht="35.05" hidden="false" customHeight="false" outlineLevel="0" collapsed="false">
      <c r="A413" s="11" t="s">
        <v>2414</v>
      </c>
      <c r="B413" s="11" t="s">
        <v>44</v>
      </c>
      <c r="C413" s="2" t="s">
        <v>2415</v>
      </c>
      <c r="D413" s="11" t="n">
        <v>2026</v>
      </c>
      <c r="E413" s="11" t="s">
        <v>171</v>
      </c>
      <c r="F413" s="11" t="s">
        <v>2416</v>
      </c>
      <c r="G413" s="11" t="s">
        <v>786</v>
      </c>
      <c r="H413" s="12" t="s">
        <v>2417</v>
      </c>
      <c r="I413" s="11" t="s">
        <v>147</v>
      </c>
      <c r="J413" s="11"/>
      <c r="K413" s="11" t="s">
        <v>115</v>
      </c>
      <c r="L413" s="11" t="s">
        <v>116</v>
      </c>
      <c r="M413" s="11" t="s">
        <v>148</v>
      </c>
      <c r="N413" s="10"/>
      <c r="O413" s="11" t="str">
        <f aca="false">IF(N413="",IF(I413="Include","Include",J413),N413)</f>
        <v>Include</v>
      </c>
      <c r="P413" s="11" t="s">
        <v>2418</v>
      </c>
    </row>
    <row r="414" customFormat="false" ht="23.85" hidden="false" customHeight="false" outlineLevel="0" collapsed="false">
      <c r="A414" s="8" t="s">
        <v>2419</v>
      </c>
      <c r="B414" s="8" t="s">
        <v>44</v>
      </c>
      <c r="C414" s="9" t="s">
        <v>2420</v>
      </c>
      <c r="D414" s="8" t="n">
        <v>2025</v>
      </c>
      <c r="E414" s="8" t="s">
        <v>143</v>
      </c>
      <c r="F414" s="8" t="s">
        <v>2421</v>
      </c>
      <c r="G414" s="8" t="s">
        <v>2422</v>
      </c>
      <c r="H414" s="13" t="s">
        <v>2423</v>
      </c>
      <c r="I414" s="8" t="s">
        <v>139</v>
      </c>
      <c r="J414" s="8" t="s">
        <v>85</v>
      </c>
      <c r="K414" s="8"/>
      <c r="L414" s="8"/>
      <c r="M414" s="8"/>
      <c r="N414" s="10"/>
      <c r="O414" s="11" t="str">
        <f aca="false">IF(N414="",IF(I414="Include","Include",J414),N414)</f>
        <v>EC6</v>
      </c>
      <c r="P414" s="11" t="s">
        <v>2424</v>
      </c>
    </row>
    <row r="415" customFormat="false" ht="15" hidden="false" customHeight="false" outlineLevel="0" collapsed="false">
      <c r="A415" s="11" t="s">
        <v>2425</v>
      </c>
      <c r="B415" s="11" t="s">
        <v>44</v>
      </c>
      <c r="C415" s="2" t="s">
        <v>2426</v>
      </c>
      <c r="D415" s="11" t="n">
        <v>2025</v>
      </c>
      <c r="E415" s="11" t="s">
        <v>143</v>
      </c>
      <c r="F415" s="11" t="s">
        <v>2427</v>
      </c>
      <c r="G415" s="11" t="s">
        <v>2428</v>
      </c>
      <c r="H415" s="12" t="s">
        <v>2429</v>
      </c>
      <c r="I415" s="11" t="s">
        <v>147</v>
      </c>
      <c r="J415" s="11"/>
      <c r="K415" s="11" t="s">
        <v>115</v>
      </c>
      <c r="L415" s="11" t="s">
        <v>118</v>
      </c>
      <c r="M415" s="11" t="s">
        <v>148</v>
      </c>
      <c r="N415" s="10"/>
      <c r="O415" s="11" t="str">
        <f aca="false">IF(N415="",IF(I415="Include","Include",J415),N415)</f>
        <v>Include</v>
      </c>
      <c r="P415" s="11" t="s">
        <v>2430</v>
      </c>
    </row>
    <row r="416" customFormat="false" ht="23.85" hidden="false" customHeight="false" outlineLevel="0" collapsed="false">
      <c r="A416" s="11" t="s">
        <v>2431</v>
      </c>
      <c r="B416" s="11" t="s">
        <v>44</v>
      </c>
      <c r="C416" s="2" t="s">
        <v>2432</v>
      </c>
      <c r="D416" s="11" t="n">
        <v>2025</v>
      </c>
      <c r="E416" s="11" t="s">
        <v>143</v>
      </c>
      <c r="F416" s="11" t="s">
        <v>2433</v>
      </c>
      <c r="G416" s="11" t="s">
        <v>2245</v>
      </c>
      <c r="H416" s="12" t="s">
        <v>2434</v>
      </c>
      <c r="I416" s="11" t="s">
        <v>147</v>
      </c>
      <c r="J416" s="11"/>
      <c r="K416" s="11" t="s">
        <v>115</v>
      </c>
      <c r="L416" s="11" t="s">
        <v>120</v>
      </c>
      <c r="M416" s="11" t="s">
        <v>161</v>
      </c>
      <c r="N416" s="10"/>
      <c r="O416" s="11" t="str">
        <f aca="false">IF(N416="",IF(I416="Include","Include",J416),N416)</f>
        <v>Include</v>
      </c>
      <c r="P416" s="11" t="s">
        <v>2435</v>
      </c>
    </row>
    <row r="417" customFormat="false" ht="35.05" hidden="false" customHeight="false" outlineLevel="0" collapsed="false">
      <c r="A417" s="8" t="s">
        <v>2436</v>
      </c>
      <c r="B417" s="8" t="s">
        <v>44</v>
      </c>
      <c r="C417" s="9" t="s">
        <v>2437</v>
      </c>
      <c r="D417" s="8" t="n">
        <v>2025</v>
      </c>
      <c r="E417" s="8" t="s">
        <v>171</v>
      </c>
      <c r="F417" s="8" t="s">
        <v>2438</v>
      </c>
      <c r="G417" s="8" t="s">
        <v>2018</v>
      </c>
      <c r="H417" s="13" t="s">
        <v>2439</v>
      </c>
      <c r="I417" s="8" t="s">
        <v>139</v>
      </c>
      <c r="J417" s="8" t="s">
        <v>85</v>
      </c>
      <c r="K417" s="8"/>
      <c r="L417" s="8"/>
      <c r="M417" s="8"/>
      <c r="N417" s="10"/>
      <c r="O417" s="11" t="str">
        <f aca="false">IF(N417="",IF(I417="Include","Include",J417),N417)</f>
        <v>EC6</v>
      </c>
      <c r="P417" s="11" t="s">
        <v>2440</v>
      </c>
    </row>
    <row r="418" customFormat="false" ht="23.85" hidden="false" customHeight="false" outlineLevel="0" collapsed="false">
      <c r="A418" s="11" t="s">
        <v>2441</v>
      </c>
      <c r="B418" s="11" t="s">
        <v>44</v>
      </c>
      <c r="C418" s="2" t="s">
        <v>2442</v>
      </c>
      <c r="D418" s="11" t="n">
        <v>2026</v>
      </c>
      <c r="E418" s="11" t="s">
        <v>171</v>
      </c>
      <c r="F418" s="11" t="s">
        <v>2443</v>
      </c>
      <c r="G418" s="11" t="s">
        <v>2216</v>
      </c>
      <c r="H418" s="12" t="s">
        <v>2444</v>
      </c>
      <c r="I418" s="11" t="s">
        <v>147</v>
      </c>
      <c r="J418" s="11"/>
      <c r="K418" s="11" t="s">
        <v>115</v>
      </c>
      <c r="L418" s="11" t="s">
        <v>118</v>
      </c>
      <c r="M418" s="11" t="s">
        <v>161</v>
      </c>
      <c r="N418" s="10"/>
      <c r="O418" s="11" t="str">
        <f aca="false">IF(N418="",IF(I418="Include","Include",J418),N418)</f>
        <v>Include</v>
      </c>
      <c r="P418" s="11" t="s">
        <v>2445</v>
      </c>
    </row>
    <row r="419" customFormat="false" ht="23.85" hidden="false" customHeight="false" outlineLevel="0" collapsed="false">
      <c r="A419" s="8" t="s">
        <v>2446</v>
      </c>
      <c r="B419" s="8" t="s">
        <v>44</v>
      </c>
      <c r="C419" s="9" t="s">
        <v>2447</v>
      </c>
      <c r="D419" s="8" t="n">
        <v>2026</v>
      </c>
      <c r="E419" s="8" t="s">
        <v>171</v>
      </c>
      <c r="F419" s="8" t="s">
        <v>2448</v>
      </c>
      <c r="G419" s="8" t="s">
        <v>459</v>
      </c>
      <c r="H419" s="13" t="s">
        <v>2449</v>
      </c>
      <c r="I419" s="8" t="s">
        <v>139</v>
      </c>
      <c r="J419" s="8" t="s">
        <v>85</v>
      </c>
      <c r="K419" s="8"/>
      <c r="L419" s="8"/>
      <c r="M419" s="8"/>
      <c r="N419" s="10"/>
      <c r="O419" s="11" t="str">
        <f aca="false">IF(N419="",IF(I419="Include","Include",J419),N419)</f>
        <v>EC6</v>
      </c>
      <c r="P419" s="11" t="s">
        <v>2450</v>
      </c>
    </row>
    <row r="420" customFormat="false" ht="23.85" hidden="false" customHeight="false" outlineLevel="0" collapsed="false">
      <c r="A420" s="11" t="s">
        <v>2451</v>
      </c>
      <c r="B420" s="11" t="s">
        <v>44</v>
      </c>
      <c r="C420" s="2" t="s">
        <v>2452</v>
      </c>
      <c r="D420" s="11" t="n">
        <v>2025</v>
      </c>
      <c r="E420" s="11" t="s">
        <v>171</v>
      </c>
      <c r="F420" s="11" t="s">
        <v>2453</v>
      </c>
      <c r="G420" s="11" t="s">
        <v>2454</v>
      </c>
      <c r="H420" s="12" t="s">
        <v>2455</v>
      </c>
      <c r="I420" s="11" t="s">
        <v>147</v>
      </c>
      <c r="J420" s="11"/>
      <c r="K420" s="11" t="s">
        <v>115</v>
      </c>
      <c r="L420" s="11" t="s">
        <v>116</v>
      </c>
      <c r="M420" s="11" t="s">
        <v>148</v>
      </c>
      <c r="N420" s="10"/>
      <c r="O420" s="11" t="str">
        <f aca="false">IF(N420="",IF(I420="Include","Include",J420),N420)</f>
        <v>Include</v>
      </c>
      <c r="P420" s="11" t="s">
        <v>2456</v>
      </c>
    </row>
    <row r="421" customFormat="false" ht="35.05" hidden="false" customHeight="false" outlineLevel="0" collapsed="false">
      <c r="A421" s="11" t="s">
        <v>2457</v>
      </c>
      <c r="B421" s="11" t="s">
        <v>44</v>
      </c>
      <c r="C421" s="2" t="s">
        <v>2458</v>
      </c>
      <c r="D421" s="11" t="n">
        <v>2026</v>
      </c>
      <c r="E421" s="11" t="s">
        <v>171</v>
      </c>
      <c r="F421" s="11" t="s">
        <v>2459</v>
      </c>
      <c r="G421" s="11" t="s">
        <v>2460</v>
      </c>
      <c r="H421" s="12" t="s">
        <v>2461</v>
      </c>
      <c r="I421" s="11" t="s">
        <v>147</v>
      </c>
      <c r="J421" s="11"/>
      <c r="K421" s="11" t="s">
        <v>115</v>
      </c>
      <c r="L421" s="11" t="s">
        <v>120</v>
      </c>
      <c r="M421" s="11" t="s">
        <v>210</v>
      </c>
      <c r="N421" s="10"/>
      <c r="O421" s="11" t="str">
        <f aca="false">IF(N421="",IF(I421="Include","Include",J421),N421)</f>
        <v>Include</v>
      </c>
      <c r="P421" s="11" t="s">
        <v>2462</v>
      </c>
    </row>
    <row r="422" customFormat="false" ht="23.85" hidden="false" customHeight="false" outlineLevel="0" collapsed="false">
      <c r="A422" s="8" t="s">
        <v>2463</v>
      </c>
      <c r="B422" s="8" t="s">
        <v>44</v>
      </c>
      <c r="C422" s="9" t="s">
        <v>2464</v>
      </c>
      <c r="D422" s="8" t="n">
        <v>2025</v>
      </c>
      <c r="E422" s="8" t="s">
        <v>171</v>
      </c>
      <c r="F422" s="8" t="s">
        <v>2465</v>
      </c>
      <c r="G422" s="8" t="s">
        <v>2466</v>
      </c>
      <c r="H422" s="13" t="s">
        <v>2467</v>
      </c>
      <c r="I422" s="8" t="s">
        <v>139</v>
      </c>
      <c r="J422" s="8" t="s">
        <v>87</v>
      </c>
      <c r="K422" s="8"/>
      <c r="L422" s="8"/>
      <c r="M422" s="8"/>
      <c r="N422" s="10"/>
      <c r="O422" s="11" t="str">
        <f aca="false">IF(N422="",IF(I422="Include","Include",J422),N422)</f>
        <v>EC7</v>
      </c>
      <c r="P422" s="11" t="s">
        <v>2468</v>
      </c>
    </row>
    <row r="423" customFormat="false" ht="15" hidden="false" customHeight="false" outlineLevel="0" collapsed="false">
      <c r="A423" s="8" t="s">
        <v>2469</v>
      </c>
      <c r="B423" s="8" t="s">
        <v>44</v>
      </c>
      <c r="C423" s="9" t="s">
        <v>2470</v>
      </c>
      <c r="D423" s="8" t="n">
        <v>2025</v>
      </c>
      <c r="E423" s="8" t="s">
        <v>171</v>
      </c>
      <c r="F423" s="8" t="s">
        <v>2471</v>
      </c>
      <c r="G423" s="8" t="s">
        <v>2472</v>
      </c>
      <c r="H423" s="13" t="s">
        <v>2473</v>
      </c>
      <c r="I423" s="8" t="s">
        <v>139</v>
      </c>
      <c r="J423" s="8" t="s">
        <v>85</v>
      </c>
      <c r="K423" s="8"/>
      <c r="L423" s="8"/>
      <c r="M423" s="8"/>
      <c r="N423" s="10"/>
      <c r="O423" s="11" t="str">
        <f aca="false">IF(N423="",IF(I423="Include","Include",J423),N423)</f>
        <v>EC6</v>
      </c>
      <c r="P423" s="11" t="s">
        <v>2474</v>
      </c>
    </row>
    <row r="424" customFormat="false" ht="35.05" hidden="false" customHeight="false" outlineLevel="0" collapsed="false">
      <c r="A424" s="8" t="s">
        <v>2475</v>
      </c>
      <c r="B424" s="8" t="s">
        <v>44</v>
      </c>
      <c r="C424" s="9" t="s">
        <v>2476</v>
      </c>
      <c r="D424" s="8" t="n">
        <v>2026</v>
      </c>
      <c r="E424" s="8" t="s">
        <v>171</v>
      </c>
      <c r="F424" s="8" t="s">
        <v>2477</v>
      </c>
      <c r="G424" s="8" t="s">
        <v>2478</v>
      </c>
      <c r="H424" s="13" t="s">
        <v>2479</v>
      </c>
      <c r="I424" s="8" t="s">
        <v>139</v>
      </c>
      <c r="J424" s="8" t="s">
        <v>87</v>
      </c>
      <c r="K424" s="8"/>
      <c r="L424" s="8"/>
      <c r="M424" s="8"/>
      <c r="N424" s="10"/>
      <c r="O424" s="11" t="str">
        <f aca="false">IF(N424="",IF(I424="Include","Include",J424),N424)</f>
        <v>EC7</v>
      </c>
      <c r="P424" s="11" t="s">
        <v>2480</v>
      </c>
    </row>
    <row r="425" customFormat="false" ht="23.85" hidden="false" customHeight="false" outlineLevel="0" collapsed="false">
      <c r="A425" s="11" t="s">
        <v>2481</v>
      </c>
      <c r="B425" s="11" t="s">
        <v>44</v>
      </c>
      <c r="C425" s="2" t="s">
        <v>2482</v>
      </c>
      <c r="D425" s="11" t="n">
        <v>2024</v>
      </c>
      <c r="E425" s="11" t="s">
        <v>143</v>
      </c>
      <c r="F425" s="11" t="s">
        <v>2483</v>
      </c>
      <c r="G425" s="11" t="s">
        <v>2484</v>
      </c>
      <c r="H425" s="12" t="s">
        <v>2485</v>
      </c>
      <c r="I425" s="11" t="s">
        <v>147</v>
      </c>
      <c r="J425" s="11"/>
      <c r="K425" s="11" t="s">
        <v>115</v>
      </c>
      <c r="L425" s="11" t="s">
        <v>118</v>
      </c>
      <c r="M425" s="11" t="s">
        <v>161</v>
      </c>
      <c r="N425" s="10"/>
      <c r="O425" s="11" t="str">
        <f aca="false">IF(N425="",IF(I425="Include","Include",J425),N425)</f>
        <v>Include</v>
      </c>
      <c r="P425" s="11" t="s">
        <v>2486</v>
      </c>
    </row>
    <row r="426" customFormat="false" ht="23.85" hidden="false" customHeight="false" outlineLevel="0" collapsed="false">
      <c r="A426" s="11" t="s">
        <v>2487</v>
      </c>
      <c r="B426" s="11" t="s">
        <v>44</v>
      </c>
      <c r="C426" s="2" t="s">
        <v>2488</v>
      </c>
      <c r="D426" s="11" t="n">
        <v>2026</v>
      </c>
      <c r="E426" s="11" t="s">
        <v>171</v>
      </c>
      <c r="F426" s="11" t="s">
        <v>2489</v>
      </c>
      <c r="G426" s="11" t="s">
        <v>2093</v>
      </c>
      <c r="H426" s="12" t="s">
        <v>2490</v>
      </c>
      <c r="I426" s="11" t="s">
        <v>147</v>
      </c>
      <c r="J426" s="11"/>
      <c r="K426" s="11" t="s">
        <v>115</v>
      </c>
      <c r="L426" s="11" t="s">
        <v>120</v>
      </c>
      <c r="M426" s="11" t="s">
        <v>161</v>
      </c>
      <c r="N426" s="10"/>
      <c r="O426" s="11" t="str">
        <f aca="false">IF(N426="",IF(I426="Include","Include",J426),N426)</f>
        <v>Include</v>
      </c>
      <c r="P426" s="11" t="s">
        <v>2491</v>
      </c>
    </row>
    <row r="427" customFormat="false" ht="23.85" hidden="false" customHeight="false" outlineLevel="0" collapsed="false">
      <c r="A427" s="8" t="s">
        <v>2492</v>
      </c>
      <c r="B427" s="8" t="s">
        <v>44</v>
      </c>
      <c r="C427" s="9" t="s">
        <v>2493</v>
      </c>
      <c r="D427" s="8" t="n">
        <v>2025</v>
      </c>
      <c r="E427" s="8" t="s">
        <v>143</v>
      </c>
      <c r="F427" s="8" t="s">
        <v>2494</v>
      </c>
      <c r="G427" s="8" t="s">
        <v>2495</v>
      </c>
      <c r="H427" s="13" t="s">
        <v>2496</v>
      </c>
      <c r="I427" s="8" t="s">
        <v>139</v>
      </c>
      <c r="J427" s="8" t="s">
        <v>85</v>
      </c>
      <c r="K427" s="8"/>
      <c r="L427" s="8"/>
      <c r="M427" s="8"/>
      <c r="N427" s="10"/>
      <c r="O427" s="11" t="str">
        <f aca="false">IF(N427="",IF(I427="Include","Include",J427),N427)</f>
        <v>EC6</v>
      </c>
      <c r="P427" s="11" t="s">
        <v>2497</v>
      </c>
    </row>
    <row r="428" customFormat="false" ht="23.85" hidden="false" customHeight="false" outlineLevel="0" collapsed="false">
      <c r="A428" s="8" t="s">
        <v>2498</v>
      </c>
      <c r="B428" s="8" t="s">
        <v>44</v>
      </c>
      <c r="C428" s="9" t="s">
        <v>2499</v>
      </c>
      <c r="D428" s="8" t="n">
        <v>2026</v>
      </c>
      <c r="E428" s="8" t="s">
        <v>171</v>
      </c>
      <c r="F428" s="8" t="s">
        <v>2500</v>
      </c>
      <c r="G428" s="8" t="s">
        <v>1225</v>
      </c>
      <c r="H428" s="13" t="s">
        <v>2501</v>
      </c>
      <c r="I428" s="8" t="s">
        <v>139</v>
      </c>
      <c r="J428" s="8" t="s">
        <v>85</v>
      </c>
      <c r="K428" s="8"/>
      <c r="L428" s="8"/>
      <c r="M428" s="8"/>
      <c r="N428" s="10"/>
      <c r="O428" s="11" t="str">
        <f aca="false">IF(N428="",IF(I428="Include","Include",J428),N428)</f>
        <v>EC6</v>
      </c>
      <c r="P428" s="11" t="s">
        <v>2502</v>
      </c>
    </row>
    <row r="429" customFormat="false" ht="23.85" hidden="false" customHeight="false" outlineLevel="0" collapsed="false">
      <c r="A429" s="11" t="s">
        <v>2503</v>
      </c>
      <c r="B429" s="11" t="s">
        <v>44</v>
      </c>
      <c r="C429" s="2" t="s">
        <v>2504</v>
      </c>
      <c r="D429" s="11" t="n">
        <v>2022</v>
      </c>
      <c r="E429" s="11" t="s">
        <v>171</v>
      </c>
      <c r="F429" s="11" t="s">
        <v>2505</v>
      </c>
      <c r="G429" s="11" t="s">
        <v>243</v>
      </c>
      <c r="H429" s="12" t="s">
        <v>2506</v>
      </c>
      <c r="I429" s="11" t="s">
        <v>147</v>
      </c>
      <c r="J429" s="11"/>
      <c r="K429" s="11" t="s">
        <v>115</v>
      </c>
      <c r="L429" s="11" t="s">
        <v>116</v>
      </c>
      <c r="M429" s="11" t="s">
        <v>148</v>
      </c>
      <c r="N429" s="10"/>
      <c r="O429" s="11" t="str">
        <f aca="false">IF(N429="",IF(I429="Include","Include",J429),N429)</f>
        <v>Include</v>
      </c>
      <c r="P429" s="11" t="s">
        <v>2507</v>
      </c>
    </row>
    <row r="430" customFormat="false" ht="23.85" hidden="false" customHeight="false" outlineLevel="0" collapsed="false">
      <c r="A430" s="8" t="s">
        <v>2508</v>
      </c>
      <c r="B430" s="8" t="s">
        <v>44</v>
      </c>
      <c r="C430" s="9" t="s">
        <v>2509</v>
      </c>
      <c r="D430" s="8" t="n">
        <v>2026</v>
      </c>
      <c r="E430" s="8" t="s">
        <v>171</v>
      </c>
      <c r="F430" s="8" t="s">
        <v>2510</v>
      </c>
      <c r="G430" s="8" t="s">
        <v>329</v>
      </c>
      <c r="H430" s="13" t="s">
        <v>2511</v>
      </c>
      <c r="I430" s="8" t="s">
        <v>139</v>
      </c>
      <c r="J430" s="8" t="s">
        <v>85</v>
      </c>
      <c r="K430" s="8"/>
      <c r="L430" s="8"/>
      <c r="M430" s="8"/>
      <c r="N430" s="10"/>
      <c r="O430" s="11" t="str">
        <f aca="false">IF(N430="",IF(I430="Include","Include",J430),N430)</f>
        <v>EC6</v>
      </c>
      <c r="P430" s="11" t="s">
        <v>2512</v>
      </c>
    </row>
    <row r="431" customFormat="false" ht="23.85" hidden="false" customHeight="false" outlineLevel="0" collapsed="false">
      <c r="A431" s="11" t="s">
        <v>2513</v>
      </c>
      <c r="B431" s="11" t="s">
        <v>44</v>
      </c>
      <c r="C431" s="2" t="s">
        <v>2514</v>
      </c>
      <c r="D431" s="11" t="n">
        <v>2022</v>
      </c>
      <c r="E431" s="11" t="s">
        <v>171</v>
      </c>
      <c r="F431" s="11" t="s">
        <v>2515</v>
      </c>
      <c r="G431" s="11" t="s">
        <v>2516</v>
      </c>
      <c r="H431" s="12" t="s">
        <v>2517</v>
      </c>
      <c r="I431" s="11" t="s">
        <v>147</v>
      </c>
      <c r="J431" s="11"/>
      <c r="K431" s="11" t="s">
        <v>109</v>
      </c>
      <c r="L431" s="11" t="s">
        <v>107</v>
      </c>
      <c r="M431" s="11" t="s">
        <v>161</v>
      </c>
      <c r="N431" s="10"/>
      <c r="O431" s="11" t="str">
        <f aca="false">IF(N431="",IF(I431="Include","Include",J431),N431)</f>
        <v>Include</v>
      </c>
      <c r="P431" s="11" t="s">
        <v>2518</v>
      </c>
    </row>
    <row r="432" customFormat="false" ht="23.85" hidden="false" customHeight="false" outlineLevel="0" collapsed="false">
      <c r="A432" s="8" t="s">
        <v>2519</v>
      </c>
      <c r="B432" s="8" t="s">
        <v>44</v>
      </c>
      <c r="C432" s="9" t="s">
        <v>2520</v>
      </c>
      <c r="D432" s="8" t="n">
        <v>2026</v>
      </c>
      <c r="E432" s="8" t="s">
        <v>171</v>
      </c>
      <c r="F432" s="8" t="s">
        <v>2521</v>
      </c>
      <c r="G432" s="8" t="s">
        <v>237</v>
      </c>
      <c r="H432" s="13" t="s">
        <v>2522</v>
      </c>
      <c r="I432" s="8" t="s">
        <v>139</v>
      </c>
      <c r="J432" s="8" t="s">
        <v>85</v>
      </c>
      <c r="K432" s="8"/>
      <c r="L432" s="8"/>
      <c r="M432" s="8"/>
      <c r="N432" s="10"/>
      <c r="O432" s="11" t="str">
        <f aca="false">IF(N432="",IF(I432="Include","Include",J432),N432)</f>
        <v>EC6</v>
      </c>
      <c r="P432" s="11" t="s">
        <v>2523</v>
      </c>
    </row>
    <row r="433" customFormat="false" ht="35.05" hidden="false" customHeight="false" outlineLevel="0" collapsed="false">
      <c r="A433" s="11" t="s">
        <v>2524</v>
      </c>
      <c r="B433" s="11" t="s">
        <v>44</v>
      </c>
      <c r="C433" s="2" t="s">
        <v>2525</v>
      </c>
      <c r="D433" s="11" t="n">
        <v>2026</v>
      </c>
      <c r="E433" s="11" t="s">
        <v>143</v>
      </c>
      <c r="F433" s="11" t="s">
        <v>2526</v>
      </c>
      <c r="G433" s="11" t="s">
        <v>2371</v>
      </c>
      <c r="H433" s="12" t="s">
        <v>2527</v>
      </c>
      <c r="I433" s="11" t="s">
        <v>147</v>
      </c>
      <c r="J433" s="11"/>
      <c r="K433" s="11" t="s">
        <v>115</v>
      </c>
      <c r="L433" s="11" t="s">
        <v>118</v>
      </c>
      <c r="M433" s="11" t="s">
        <v>161</v>
      </c>
      <c r="N433" s="10"/>
      <c r="O433" s="11" t="str">
        <f aca="false">IF(N433="",IF(I433="Include","Include",J433),N433)</f>
        <v>Include</v>
      </c>
      <c r="P433" s="11" t="s">
        <v>2528</v>
      </c>
    </row>
    <row r="434" customFormat="false" ht="23.85" hidden="false" customHeight="false" outlineLevel="0" collapsed="false">
      <c r="A434" s="11" t="s">
        <v>2529</v>
      </c>
      <c r="B434" s="11" t="s">
        <v>44</v>
      </c>
      <c r="C434" s="2" t="s">
        <v>2530</v>
      </c>
      <c r="D434" s="11" t="n">
        <v>2026</v>
      </c>
      <c r="E434" s="11" t="s">
        <v>143</v>
      </c>
      <c r="F434" s="11" t="s">
        <v>2531</v>
      </c>
      <c r="G434" s="11" t="s">
        <v>670</v>
      </c>
      <c r="H434" s="12" t="s">
        <v>2532</v>
      </c>
      <c r="I434" s="11" t="s">
        <v>147</v>
      </c>
      <c r="J434" s="11"/>
      <c r="K434" s="11" t="s">
        <v>115</v>
      </c>
      <c r="L434" s="11" t="s">
        <v>116</v>
      </c>
      <c r="M434" s="11" t="s">
        <v>210</v>
      </c>
      <c r="N434" s="10"/>
      <c r="O434" s="11" t="str">
        <f aca="false">IF(N434="",IF(I434="Include","Include",J434),N434)</f>
        <v>Include</v>
      </c>
      <c r="P434" s="11" t="s">
        <v>2533</v>
      </c>
    </row>
    <row r="435" customFormat="false" ht="15" hidden="false" customHeight="false" outlineLevel="0" collapsed="false">
      <c r="A435" s="11" t="s">
        <v>2534</v>
      </c>
      <c r="B435" s="11" t="s">
        <v>44</v>
      </c>
      <c r="C435" s="2" t="s">
        <v>2535</v>
      </c>
      <c r="D435" s="11" t="n">
        <v>2024</v>
      </c>
      <c r="E435" s="11" t="s">
        <v>171</v>
      </c>
      <c r="F435" s="11" t="s">
        <v>2536</v>
      </c>
      <c r="G435" s="11" t="s">
        <v>2537</v>
      </c>
      <c r="H435" s="12" t="s">
        <v>2538</v>
      </c>
      <c r="I435" s="11" t="s">
        <v>147</v>
      </c>
      <c r="J435" s="11"/>
      <c r="K435" s="11" t="s">
        <v>115</v>
      </c>
      <c r="L435" s="11" t="s">
        <v>118</v>
      </c>
      <c r="M435" s="11" t="s">
        <v>148</v>
      </c>
      <c r="N435" s="10"/>
      <c r="O435" s="11" t="str">
        <f aca="false">IF(N435="",IF(I435="Include","Include",J435),N435)</f>
        <v>Include</v>
      </c>
      <c r="P435" s="11" t="s">
        <v>2539</v>
      </c>
    </row>
    <row r="436" customFormat="false" ht="23.85" hidden="false" customHeight="false" outlineLevel="0" collapsed="false">
      <c r="A436" s="8" t="s">
        <v>2540</v>
      </c>
      <c r="B436" s="8" t="s">
        <v>44</v>
      </c>
      <c r="C436" s="9" t="s">
        <v>2541</v>
      </c>
      <c r="D436" s="8" t="n">
        <v>2026</v>
      </c>
      <c r="E436" s="8" t="s">
        <v>171</v>
      </c>
      <c r="F436" s="8" t="s">
        <v>2542</v>
      </c>
      <c r="G436" s="8" t="s">
        <v>2543</v>
      </c>
      <c r="H436" s="13" t="s">
        <v>2544</v>
      </c>
      <c r="I436" s="8" t="s">
        <v>139</v>
      </c>
      <c r="J436" s="8" t="s">
        <v>85</v>
      </c>
      <c r="K436" s="8"/>
      <c r="L436" s="8"/>
      <c r="M436" s="8"/>
      <c r="N436" s="10"/>
      <c r="O436" s="11" t="str">
        <f aca="false">IF(N436="",IF(I436="Include","Include",J436),N436)</f>
        <v>EC6</v>
      </c>
      <c r="P436" s="11" t="s">
        <v>2545</v>
      </c>
    </row>
    <row r="437" customFormat="false" ht="23.85" hidden="false" customHeight="false" outlineLevel="0" collapsed="false">
      <c r="A437" s="8" t="s">
        <v>2546</v>
      </c>
      <c r="B437" s="8" t="s">
        <v>44</v>
      </c>
      <c r="C437" s="9" t="s">
        <v>2547</v>
      </c>
      <c r="D437" s="8" t="n">
        <v>2025</v>
      </c>
      <c r="E437" s="8" t="s">
        <v>171</v>
      </c>
      <c r="F437" s="8" t="s">
        <v>2548</v>
      </c>
      <c r="G437" s="8" t="s">
        <v>2222</v>
      </c>
      <c r="H437" s="13" t="s">
        <v>2549</v>
      </c>
      <c r="I437" s="8" t="s">
        <v>139</v>
      </c>
      <c r="J437" s="8" t="s">
        <v>85</v>
      </c>
      <c r="K437" s="8"/>
      <c r="L437" s="8"/>
      <c r="M437" s="8"/>
      <c r="N437" s="10"/>
      <c r="O437" s="11" t="str">
        <f aca="false">IF(N437="",IF(I437="Include","Include",J437),N437)</f>
        <v>EC6</v>
      </c>
      <c r="P437" s="11" t="s">
        <v>2550</v>
      </c>
    </row>
    <row r="438" customFormat="false" ht="35.05" hidden="false" customHeight="false" outlineLevel="0" collapsed="false">
      <c r="A438" s="8" t="s">
        <v>2551</v>
      </c>
      <c r="B438" s="8" t="s">
        <v>44</v>
      </c>
      <c r="C438" s="9" t="s">
        <v>2552</v>
      </c>
      <c r="D438" s="8" t="n">
        <v>2024</v>
      </c>
      <c r="E438" s="8" t="s">
        <v>171</v>
      </c>
      <c r="F438" s="8" t="s">
        <v>2177</v>
      </c>
      <c r="G438" s="8" t="s">
        <v>237</v>
      </c>
      <c r="H438" s="13" t="s">
        <v>2553</v>
      </c>
      <c r="I438" s="8" t="s">
        <v>139</v>
      </c>
      <c r="J438" s="8" t="s">
        <v>85</v>
      </c>
      <c r="K438" s="8"/>
      <c r="L438" s="8"/>
      <c r="M438" s="8"/>
      <c r="N438" s="10"/>
      <c r="O438" s="11" t="str">
        <f aca="false">IF(N438="",IF(I438="Include","Include",J438),N438)</f>
        <v>EC6</v>
      </c>
      <c r="P438" s="11" t="s">
        <v>2554</v>
      </c>
    </row>
    <row r="439" customFormat="false" ht="23.85" hidden="false" customHeight="false" outlineLevel="0" collapsed="false">
      <c r="A439" s="11" t="s">
        <v>2555</v>
      </c>
      <c r="B439" s="11" t="s">
        <v>44</v>
      </c>
      <c r="C439" s="2" t="s">
        <v>2556</v>
      </c>
      <c r="D439" s="11" t="n">
        <v>2025</v>
      </c>
      <c r="E439" s="11" t="s">
        <v>171</v>
      </c>
      <c r="F439" s="11" t="s">
        <v>2557</v>
      </c>
      <c r="G439" s="11" t="s">
        <v>329</v>
      </c>
      <c r="H439" s="12" t="s">
        <v>2558</v>
      </c>
      <c r="I439" s="11" t="s">
        <v>147</v>
      </c>
      <c r="J439" s="11"/>
      <c r="K439" s="11" t="s">
        <v>115</v>
      </c>
      <c r="L439" s="11" t="s">
        <v>118</v>
      </c>
      <c r="M439" s="11" t="s">
        <v>161</v>
      </c>
      <c r="N439" s="10"/>
      <c r="O439" s="11" t="str">
        <f aca="false">IF(N439="",IF(I439="Include","Include",J439),N439)</f>
        <v>Include</v>
      </c>
      <c r="P439" s="11" t="s">
        <v>2559</v>
      </c>
    </row>
    <row r="440" customFormat="false" ht="15" hidden="false" customHeight="false" outlineLevel="0" collapsed="false">
      <c r="A440" s="8" t="s">
        <v>2560</v>
      </c>
      <c r="B440" s="8" t="s">
        <v>44</v>
      </c>
      <c r="C440" s="9" t="s">
        <v>2561</v>
      </c>
      <c r="D440" s="8" t="n">
        <v>2020</v>
      </c>
      <c r="E440" s="8" t="s">
        <v>143</v>
      </c>
      <c r="F440" s="8" t="s">
        <v>2562</v>
      </c>
      <c r="G440" s="8" t="s">
        <v>2563</v>
      </c>
      <c r="H440" s="8"/>
      <c r="I440" s="8" t="s">
        <v>139</v>
      </c>
      <c r="J440" s="8" t="s">
        <v>75</v>
      </c>
      <c r="K440" s="8"/>
      <c r="L440" s="8"/>
      <c r="M440" s="8"/>
      <c r="N440" s="10"/>
      <c r="O440" s="11" t="str">
        <f aca="false">IF(N440="",IF(I440="Include","Include",J440),N440)</f>
        <v>EC1</v>
      </c>
      <c r="P440" s="11" t="s">
        <v>2564</v>
      </c>
    </row>
    <row r="441" customFormat="false" ht="23.85" hidden="false" customHeight="false" outlineLevel="0" collapsed="false">
      <c r="A441" s="11" t="s">
        <v>2565</v>
      </c>
      <c r="B441" s="11" t="s">
        <v>44</v>
      </c>
      <c r="C441" s="2" t="s">
        <v>2566</v>
      </c>
      <c r="D441" s="11" t="n">
        <v>2025</v>
      </c>
      <c r="E441" s="11" t="s">
        <v>143</v>
      </c>
      <c r="F441" s="11" t="s">
        <v>2567</v>
      </c>
      <c r="G441" s="11" t="s">
        <v>2568</v>
      </c>
      <c r="H441" s="12" t="s">
        <v>2569</v>
      </c>
      <c r="I441" s="11" t="s">
        <v>147</v>
      </c>
      <c r="J441" s="11"/>
      <c r="K441" s="11" t="s">
        <v>115</v>
      </c>
      <c r="L441" s="11" t="s">
        <v>120</v>
      </c>
      <c r="M441" s="11" t="s">
        <v>210</v>
      </c>
      <c r="N441" s="10"/>
      <c r="O441" s="11" t="str">
        <f aca="false">IF(N441="",IF(I441="Include","Include",J441),N441)</f>
        <v>Include</v>
      </c>
      <c r="P441" s="11" t="s">
        <v>2570</v>
      </c>
    </row>
    <row r="442" customFormat="false" ht="23.85" hidden="false" customHeight="false" outlineLevel="0" collapsed="false">
      <c r="A442" s="8" t="s">
        <v>2571</v>
      </c>
      <c r="B442" s="8" t="s">
        <v>44</v>
      </c>
      <c r="C442" s="9" t="s">
        <v>2572</v>
      </c>
      <c r="D442" s="8" t="n">
        <v>2026</v>
      </c>
      <c r="E442" s="8" t="s">
        <v>143</v>
      </c>
      <c r="F442" s="8" t="s">
        <v>2573</v>
      </c>
      <c r="G442" s="8" t="s">
        <v>542</v>
      </c>
      <c r="H442" s="13" t="s">
        <v>2574</v>
      </c>
      <c r="I442" s="8" t="s">
        <v>139</v>
      </c>
      <c r="J442" s="8" t="s">
        <v>85</v>
      </c>
      <c r="K442" s="8"/>
      <c r="L442" s="8"/>
      <c r="M442" s="8"/>
      <c r="N442" s="10"/>
      <c r="O442" s="11" t="str">
        <f aca="false">IF(N442="",IF(I442="Include","Include",J442),N442)</f>
        <v>EC6</v>
      </c>
      <c r="P442" s="11" t="s">
        <v>2575</v>
      </c>
    </row>
    <row r="443" customFormat="false" ht="23.85" hidden="false" customHeight="false" outlineLevel="0" collapsed="false">
      <c r="A443" s="11" t="s">
        <v>2576</v>
      </c>
      <c r="B443" s="11" t="s">
        <v>44</v>
      </c>
      <c r="C443" s="2" t="s">
        <v>2577</v>
      </c>
      <c r="D443" s="11" t="n">
        <v>2025</v>
      </c>
      <c r="E443" s="11" t="s">
        <v>577</v>
      </c>
      <c r="F443" s="11" t="s">
        <v>2578</v>
      </c>
      <c r="G443" s="11" t="s">
        <v>2579</v>
      </c>
      <c r="H443" s="12" t="s">
        <v>2580</v>
      </c>
      <c r="I443" s="11" t="s">
        <v>147</v>
      </c>
      <c r="J443" s="11"/>
      <c r="K443" s="11" t="s">
        <v>115</v>
      </c>
      <c r="L443" s="11" t="s">
        <v>120</v>
      </c>
      <c r="M443" s="11" t="s">
        <v>148</v>
      </c>
      <c r="N443" s="10"/>
      <c r="O443" s="11" t="str">
        <f aca="false">IF(N443="",IF(I443="Include","Include",J443),N443)</f>
        <v>Include</v>
      </c>
      <c r="P443" s="11" t="s">
        <v>2581</v>
      </c>
    </row>
    <row r="444" customFormat="false" ht="23.85" hidden="false" customHeight="false" outlineLevel="0" collapsed="false">
      <c r="A444" s="8" t="s">
        <v>2582</v>
      </c>
      <c r="B444" s="8" t="s">
        <v>44</v>
      </c>
      <c r="C444" s="9" t="s">
        <v>2583</v>
      </c>
      <c r="D444" s="8" t="n">
        <v>2019</v>
      </c>
      <c r="E444" s="8" t="s">
        <v>143</v>
      </c>
      <c r="F444" s="8" t="s">
        <v>2584</v>
      </c>
      <c r="G444" s="8" t="s">
        <v>2585</v>
      </c>
      <c r="H444" s="13" t="s">
        <v>2586</v>
      </c>
      <c r="I444" s="8" t="s">
        <v>139</v>
      </c>
      <c r="J444" s="8" t="s">
        <v>83</v>
      </c>
      <c r="K444" s="8"/>
      <c r="L444" s="8"/>
      <c r="M444" s="8"/>
      <c r="N444" s="10"/>
      <c r="O444" s="11" t="str">
        <f aca="false">IF(N444="",IF(I444="Include","Include",J444),N444)</f>
        <v>EC5</v>
      </c>
      <c r="P444" s="11" t="s">
        <v>2587</v>
      </c>
    </row>
    <row r="445" customFormat="false" ht="23.85" hidden="false" customHeight="false" outlineLevel="0" collapsed="false">
      <c r="A445" s="8" t="s">
        <v>2588</v>
      </c>
      <c r="B445" s="8" t="s">
        <v>44</v>
      </c>
      <c r="C445" s="9" t="s">
        <v>2589</v>
      </c>
      <c r="D445" s="8" t="n">
        <v>2026</v>
      </c>
      <c r="E445" s="8" t="s">
        <v>171</v>
      </c>
      <c r="F445" s="8" t="s">
        <v>2590</v>
      </c>
      <c r="G445" s="8" t="s">
        <v>2591</v>
      </c>
      <c r="H445" s="13" t="s">
        <v>2592</v>
      </c>
      <c r="I445" s="8" t="s">
        <v>139</v>
      </c>
      <c r="J445" s="8" t="s">
        <v>85</v>
      </c>
      <c r="K445" s="8"/>
      <c r="L445" s="8"/>
      <c r="M445" s="8"/>
      <c r="N445" s="10"/>
      <c r="O445" s="11" t="str">
        <f aca="false">IF(N445="",IF(I445="Include","Include",J445),N445)</f>
        <v>EC6</v>
      </c>
      <c r="P445" s="11" t="s">
        <v>2593</v>
      </c>
    </row>
    <row r="446" customFormat="false" ht="23.85" hidden="false" customHeight="false" outlineLevel="0" collapsed="false">
      <c r="A446" s="8" t="s">
        <v>2594</v>
      </c>
      <c r="B446" s="8" t="s">
        <v>44</v>
      </c>
      <c r="C446" s="9" t="s">
        <v>2595</v>
      </c>
      <c r="D446" s="8" t="n">
        <v>2026</v>
      </c>
      <c r="E446" s="8" t="s">
        <v>143</v>
      </c>
      <c r="F446" s="8" t="s">
        <v>2596</v>
      </c>
      <c r="G446" s="8" t="s">
        <v>2597</v>
      </c>
      <c r="H446" s="13" t="s">
        <v>2598</v>
      </c>
      <c r="I446" s="8" t="s">
        <v>139</v>
      </c>
      <c r="J446" s="8" t="s">
        <v>85</v>
      </c>
      <c r="K446" s="8"/>
      <c r="L446" s="8"/>
      <c r="M446" s="8"/>
      <c r="N446" s="10"/>
      <c r="O446" s="11" t="str">
        <f aca="false">IF(N446="",IF(I446="Include","Include",J446),N446)</f>
        <v>EC6</v>
      </c>
      <c r="P446" s="11" t="s">
        <v>2599</v>
      </c>
    </row>
    <row r="447" customFormat="false" ht="23.85" hidden="false" customHeight="false" outlineLevel="0" collapsed="false">
      <c r="A447" s="11" t="s">
        <v>2600</v>
      </c>
      <c r="B447" s="11" t="s">
        <v>44</v>
      </c>
      <c r="C447" s="2" t="s">
        <v>2601</v>
      </c>
      <c r="D447" s="11" t="n">
        <v>2026</v>
      </c>
      <c r="E447" s="11" t="s">
        <v>171</v>
      </c>
      <c r="F447" s="11" t="s">
        <v>2602</v>
      </c>
      <c r="G447" s="11" t="s">
        <v>2603</v>
      </c>
      <c r="H447" s="12" t="s">
        <v>2604</v>
      </c>
      <c r="I447" s="11" t="s">
        <v>147</v>
      </c>
      <c r="J447" s="11"/>
      <c r="K447" s="11" t="s">
        <v>96</v>
      </c>
      <c r="L447" s="11" t="s">
        <v>94</v>
      </c>
      <c r="M447" s="11" t="s">
        <v>161</v>
      </c>
      <c r="N447" s="10"/>
      <c r="O447" s="11" t="str">
        <f aca="false">IF(N447="",IF(I447="Include","Include",J447),N447)</f>
        <v>Include</v>
      </c>
      <c r="P447" s="11" t="s">
        <v>2605</v>
      </c>
    </row>
    <row r="448" customFormat="false" ht="23.85" hidden="false" customHeight="false" outlineLevel="0" collapsed="false">
      <c r="A448" s="8" t="s">
        <v>2606</v>
      </c>
      <c r="B448" s="8" t="s">
        <v>44</v>
      </c>
      <c r="C448" s="9" t="s">
        <v>2607</v>
      </c>
      <c r="D448" s="8" t="n">
        <v>2026</v>
      </c>
      <c r="E448" s="8" t="s">
        <v>171</v>
      </c>
      <c r="F448" s="8" t="s">
        <v>2608</v>
      </c>
      <c r="G448" s="8" t="s">
        <v>2516</v>
      </c>
      <c r="H448" s="13" t="s">
        <v>2609</v>
      </c>
      <c r="I448" s="8" t="s">
        <v>139</v>
      </c>
      <c r="J448" s="8" t="s">
        <v>85</v>
      </c>
      <c r="K448" s="8"/>
      <c r="L448" s="8"/>
      <c r="M448" s="8"/>
      <c r="N448" s="10"/>
      <c r="O448" s="11" t="str">
        <f aca="false">IF(N448="",IF(I448="Include","Include",J448),N448)</f>
        <v>EC6</v>
      </c>
      <c r="P448" s="11" t="s">
        <v>2610</v>
      </c>
    </row>
    <row r="449" customFormat="false" ht="23.85" hidden="false" customHeight="false" outlineLevel="0" collapsed="false">
      <c r="A449" s="8" t="s">
        <v>2611</v>
      </c>
      <c r="B449" s="8" t="s">
        <v>44</v>
      </c>
      <c r="C449" s="9" t="s">
        <v>2612</v>
      </c>
      <c r="D449" s="8" t="n">
        <v>2026</v>
      </c>
      <c r="E449" s="8" t="s">
        <v>143</v>
      </c>
      <c r="F449" s="8" t="s">
        <v>2613</v>
      </c>
      <c r="G449" s="8" t="s">
        <v>2614</v>
      </c>
      <c r="H449" s="13" t="s">
        <v>2615</v>
      </c>
      <c r="I449" s="8" t="s">
        <v>139</v>
      </c>
      <c r="J449" s="8" t="s">
        <v>85</v>
      </c>
      <c r="K449" s="8"/>
      <c r="L449" s="8"/>
      <c r="M449" s="8"/>
      <c r="N449" s="10"/>
      <c r="O449" s="11" t="str">
        <f aca="false">IF(N449="",IF(I449="Include","Include",J449),N449)</f>
        <v>EC6</v>
      </c>
      <c r="P449" s="11" t="s">
        <v>2616</v>
      </c>
    </row>
    <row r="450" customFormat="false" ht="15" hidden="false" customHeight="false" outlineLevel="0" collapsed="false">
      <c r="A450" s="8" t="s">
        <v>2617</v>
      </c>
      <c r="B450" s="8" t="s">
        <v>44</v>
      </c>
      <c r="C450" s="9" t="s">
        <v>2618</v>
      </c>
      <c r="D450" s="8" t="n">
        <v>2022</v>
      </c>
      <c r="E450" s="8" t="s">
        <v>2619</v>
      </c>
      <c r="F450" s="8" t="s">
        <v>2620</v>
      </c>
      <c r="G450" s="8" t="s">
        <v>2621</v>
      </c>
      <c r="H450" s="13" t="s">
        <v>2622</v>
      </c>
      <c r="I450" s="8" t="s">
        <v>139</v>
      </c>
      <c r="J450" s="8" t="s">
        <v>85</v>
      </c>
      <c r="K450" s="8"/>
      <c r="L450" s="8"/>
      <c r="M450" s="8"/>
      <c r="N450" s="10"/>
      <c r="O450" s="11" t="str">
        <f aca="false">IF(N450="",IF(I450="Include","Include",J450),N450)</f>
        <v>EC6</v>
      </c>
      <c r="P450" s="11" t="s">
        <v>2623</v>
      </c>
    </row>
    <row r="451" customFormat="false" ht="23.85" hidden="false" customHeight="false" outlineLevel="0" collapsed="false">
      <c r="A451" s="8" t="s">
        <v>2624</v>
      </c>
      <c r="B451" s="8" t="s">
        <v>44</v>
      </c>
      <c r="C451" s="9" t="s">
        <v>2625</v>
      </c>
      <c r="D451" s="8" t="n">
        <v>2026</v>
      </c>
      <c r="E451" s="8" t="s">
        <v>143</v>
      </c>
      <c r="F451" s="8" t="s">
        <v>2626</v>
      </c>
      <c r="G451" s="8" t="s">
        <v>2627</v>
      </c>
      <c r="H451" s="13" t="s">
        <v>2628</v>
      </c>
      <c r="I451" s="8" t="s">
        <v>139</v>
      </c>
      <c r="J451" s="8" t="s">
        <v>85</v>
      </c>
      <c r="K451" s="8"/>
      <c r="L451" s="8"/>
      <c r="M451" s="8"/>
      <c r="N451" s="10"/>
      <c r="O451" s="11" t="str">
        <f aca="false">IF(N451="",IF(I451="Include","Include",J451),N451)</f>
        <v>EC6</v>
      </c>
      <c r="P451" s="11" t="s">
        <v>2629</v>
      </c>
    </row>
    <row r="452" customFormat="false" ht="23.85" hidden="false" customHeight="false" outlineLevel="0" collapsed="false">
      <c r="A452" s="8" t="s">
        <v>2630</v>
      </c>
      <c r="B452" s="8" t="s">
        <v>44</v>
      </c>
      <c r="C452" s="9" t="s">
        <v>2631</v>
      </c>
      <c r="D452" s="8" t="n">
        <v>2026</v>
      </c>
      <c r="E452" s="8" t="s">
        <v>171</v>
      </c>
      <c r="F452" s="8" t="s">
        <v>2632</v>
      </c>
      <c r="G452" s="8" t="s">
        <v>2633</v>
      </c>
      <c r="H452" s="13" t="s">
        <v>2634</v>
      </c>
      <c r="I452" s="8" t="s">
        <v>139</v>
      </c>
      <c r="J452" s="8" t="s">
        <v>85</v>
      </c>
      <c r="K452" s="8"/>
      <c r="L452" s="8"/>
      <c r="M452" s="8"/>
      <c r="N452" s="10"/>
      <c r="O452" s="11" t="str">
        <f aca="false">IF(N452="",IF(I452="Include","Include",J452),N452)</f>
        <v>EC6</v>
      </c>
      <c r="P452" s="11" t="s">
        <v>2635</v>
      </c>
    </row>
    <row r="453" customFormat="false" ht="23.85" hidden="false" customHeight="false" outlineLevel="0" collapsed="false">
      <c r="A453" s="8" t="s">
        <v>2636</v>
      </c>
      <c r="B453" s="8" t="s">
        <v>44</v>
      </c>
      <c r="C453" s="9" t="s">
        <v>2637</v>
      </c>
      <c r="D453" s="8" t="n">
        <v>2024</v>
      </c>
      <c r="E453" s="8" t="s">
        <v>143</v>
      </c>
      <c r="F453" s="8" t="s">
        <v>2638</v>
      </c>
      <c r="G453" s="8" t="s">
        <v>2639</v>
      </c>
      <c r="H453" s="13" t="s">
        <v>2640</v>
      </c>
      <c r="I453" s="8" t="s">
        <v>139</v>
      </c>
      <c r="J453" s="8" t="s">
        <v>85</v>
      </c>
      <c r="K453" s="8"/>
      <c r="L453" s="8"/>
      <c r="M453" s="8"/>
      <c r="N453" s="10"/>
      <c r="O453" s="11" t="str">
        <f aca="false">IF(N453="",IF(I453="Include","Include",J453),N453)</f>
        <v>EC6</v>
      </c>
      <c r="P453" s="11" t="s">
        <v>2641</v>
      </c>
    </row>
    <row r="454" customFormat="false" ht="35.05" hidden="false" customHeight="false" outlineLevel="0" collapsed="false">
      <c r="A454" s="8" t="s">
        <v>2642</v>
      </c>
      <c r="B454" s="8" t="s">
        <v>44</v>
      </c>
      <c r="C454" s="9" t="s">
        <v>2643</v>
      </c>
      <c r="D454" s="8" t="n">
        <v>2026</v>
      </c>
      <c r="E454" s="8" t="s">
        <v>171</v>
      </c>
      <c r="F454" s="8" t="s">
        <v>2644</v>
      </c>
      <c r="G454" s="8" t="s">
        <v>2645</v>
      </c>
      <c r="H454" s="8"/>
      <c r="I454" s="8" t="s">
        <v>139</v>
      </c>
      <c r="J454" s="8" t="s">
        <v>85</v>
      </c>
      <c r="K454" s="8"/>
      <c r="L454" s="8"/>
      <c r="M454" s="8"/>
      <c r="N454" s="10"/>
      <c r="O454" s="11" t="str">
        <f aca="false">IF(N454="",IF(I454="Include","Include",J454),N454)</f>
        <v>EC6</v>
      </c>
      <c r="P454" s="11" t="s">
        <v>2646</v>
      </c>
    </row>
    <row r="455" customFormat="false" ht="15" hidden="false" customHeight="false" outlineLevel="0" collapsed="false">
      <c r="A455" s="11" t="s">
        <v>2647</v>
      </c>
      <c r="B455" s="11" t="s">
        <v>44</v>
      </c>
      <c r="C455" s="2" t="s">
        <v>2648</v>
      </c>
      <c r="D455" s="11" t="n">
        <v>2025</v>
      </c>
      <c r="E455" s="11" t="s">
        <v>171</v>
      </c>
      <c r="F455" s="11" t="s">
        <v>2649</v>
      </c>
      <c r="G455" s="11" t="s">
        <v>2650</v>
      </c>
      <c r="H455" s="12" t="s">
        <v>2651</v>
      </c>
      <c r="I455" s="11" t="s">
        <v>147</v>
      </c>
      <c r="J455" s="11"/>
      <c r="K455" s="11" t="s">
        <v>115</v>
      </c>
      <c r="L455" s="11" t="s">
        <v>116</v>
      </c>
      <c r="M455" s="11" t="s">
        <v>210</v>
      </c>
      <c r="N455" s="10"/>
      <c r="O455" s="11" t="str">
        <f aca="false">IF(N455="",IF(I455="Include","Include",J455),N455)</f>
        <v>Include</v>
      </c>
      <c r="P455" s="11" t="s">
        <v>2652</v>
      </c>
    </row>
    <row r="456" customFormat="false" ht="23.85" hidden="false" customHeight="false" outlineLevel="0" collapsed="false">
      <c r="A456" s="8" t="s">
        <v>2653</v>
      </c>
      <c r="B456" s="8" t="s">
        <v>44</v>
      </c>
      <c r="C456" s="9" t="s">
        <v>2654</v>
      </c>
      <c r="D456" s="8" t="n">
        <v>2024</v>
      </c>
      <c r="E456" s="8" t="s">
        <v>143</v>
      </c>
      <c r="F456" s="8" t="s">
        <v>2638</v>
      </c>
      <c r="G456" s="8" t="s">
        <v>2568</v>
      </c>
      <c r="H456" s="13" t="s">
        <v>2655</v>
      </c>
      <c r="I456" s="8" t="s">
        <v>139</v>
      </c>
      <c r="J456" s="8" t="s">
        <v>85</v>
      </c>
      <c r="K456" s="8"/>
      <c r="L456" s="8"/>
      <c r="M456" s="8"/>
      <c r="N456" s="10"/>
      <c r="O456" s="11" t="str">
        <f aca="false">IF(N456="",IF(I456="Include","Include",J456),N456)</f>
        <v>EC6</v>
      </c>
      <c r="P456" s="11" t="s">
        <v>2656</v>
      </c>
    </row>
    <row r="457" customFormat="false" ht="23.85" hidden="false" customHeight="false" outlineLevel="0" collapsed="false">
      <c r="A457" s="8" t="s">
        <v>2657</v>
      </c>
      <c r="B457" s="8" t="s">
        <v>44</v>
      </c>
      <c r="C457" s="9" t="s">
        <v>2658</v>
      </c>
      <c r="D457" s="8" t="n">
        <v>2025</v>
      </c>
      <c r="E457" s="8" t="s">
        <v>143</v>
      </c>
      <c r="F457" s="8" t="s">
        <v>2659</v>
      </c>
      <c r="G457" s="8" t="s">
        <v>2660</v>
      </c>
      <c r="H457" s="13" t="s">
        <v>2661</v>
      </c>
      <c r="I457" s="8" t="s">
        <v>139</v>
      </c>
      <c r="J457" s="8" t="s">
        <v>85</v>
      </c>
      <c r="K457" s="8"/>
      <c r="L457" s="8"/>
      <c r="M457" s="8"/>
      <c r="N457" s="10"/>
      <c r="O457" s="11" t="str">
        <f aca="false">IF(N457="",IF(I457="Include","Include",J457),N457)</f>
        <v>EC6</v>
      </c>
      <c r="P457" s="11" t="s">
        <v>2662</v>
      </c>
    </row>
    <row r="458" customFormat="false" ht="23.85" hidden="false" customHeight="false" outlineLevel="0" collapsed="false">
      <c r="A458" s="11" t="s">
        <v>2663</v>
      </c>
      <c r="B458" s="11" t="s">
        <v>44</v>
      </c>
      <c r="C458" s="2" t="s">
        <v>2664</v>
      </c>
      <c r="D458" s="11" t="n">
        <v>2025</v>
      </c>
      <c r="E458" s="11" t="s">
        <v>143</v>
      </c>
      <c r="F458" s="11" t="s">
        <v>2665</v>
      </c>
      <c r="G458" s="11" t="s">
        <v>935</v>
      </c>
      <c r="H458" s="11"/>
      <c r="I458" s="11" t="s">
        <v>147</v>
      </c>
      <c r="J458" s="11"/>
      <c r="K458" s="11" t="s">
        <v>115</v>
      </c>
      <c r="L458" s="11" t="s">
        <v>118</v>
      </c>
      <c r="M458" s="11" t="s">
        <v>148</v>
      </c>
      <c r="N458" s="10"/>
      <c r="O458" s="11" t="str">
        <f aca="false">IF(N458="",IF(I458="Include","Include",J458),N458)</f>
        <v>Include</v>
      </c>
      <c r="P458" s="11" t="s">
        <v>2666</v>
      </c>
    </row>
    <row r="459" customFormat="false" ht="23.85" hidden="false" customHeight="false" outlineLevel="0" collapsed="false">
      <c r="A459" s="8" t="s">
        <v>2667</v>
      </c>
      <c r="B459" s="8" t="s">
        <v>44</v>
      </c>
      <c r="C459" s="9" t="s">
        <v>2668</v>
      </c>
      <c r="D459" s="8" t="n">
        <v>2025</v>
      </c>
      <c r="E459" s="8" t="s">
        <v>171</v>
      </c>
      <c r="F459" s="8" t="s">
        <v>2471</v>
      </c>
      <c r="G459" s="8" t="s">
        <v>2669</v>
      </c>
      <c r="H459" s="13" t="s">
        <v>2670</v>
      </c>
      <c r="I459" s="8" t="s">
        <v>139</v>
      </c>
      <c r="J459" s="8" t="s">
        <v>85</v>
      </c>
      <c r="K459" s="8"/>
      <c r="L459" s="8"/>
      <c r="M459" s="8"/>
      <c r="N459" s="10"/>
      <c r="O459" s="11" t="str">
        <f aca="false">IF(N459="",IF(I459="Include","Include",J459),N459)</f>
        <v>EC6</v>
      </c>
      <c r="P459" s="11" t="s">
        <v>2671</v>
      </c>
    </row>
    <row r="460" customFormat="false" ht="23.85" hidden="false" customHeight="false" outlineLevel="0" collapsed="false">
      <c r="A460" s="11" t="s">
        <v>2672</v>
      </c>
      <c r="B460" s="11" t="s">
        <v>44</v>
      </c>
      <c r="C460" s="2" t="s">
        <v>2673</v>
      </c>
      <c r="D460" s="11" t="n">
        <v>2025</v>
      </c>
      <c r="E460" s="11" t="s">
        <v>143</v>
      </c>
      <c r="F460" s="11" t="s">
        <v>2674</v>
      </c>
      <c r="G460" s="11" t="s">
        <v>2675</v>
      </c>
      <c r="H460" s="12" t="s">
        <v>2676</v>
      </c>
      <c r="I460" s="11" t="s">
        <v>147</v>
      </c>
      <c r="J460" s="11"/>
      <c r="K460" s="11" t="s">
        <v>115</v>
      </c>
      <c r="L460" s="11" t="s">
        <v>118</v>
      </c>
      <c r="M460" s="11" t="s">
        <v>161</v>
      </c>
      <c r="N460" s="10"/>
      <c r="O460" s="11" t="str">
        <f aca="false">IF(N460="",IF(I460="Include","Include",J460),N460)</f>
        <v>Include</v>
      </c>
      <c r="P460" s="11" t="s">
        <v>2677</v>
      </c>
    </row>
    <row r="461" customFormat="false" ht="23.85" hidden="false" customHeight="false" outlineLevel="0" collapsed="false">
      <c r="A461" s="11" t="s">
        <v>2678</v>
      </c>
      <c r="B461" s="11" t="s">
        <v>44</v>
      </c>
      <c r="C461" s="2" t="s">
        <v>2679</v>
      </c>
      <c r="D461" s="11" t="n">
        <v>2025</v>
      </c>
      <c r="E461" s="11" t="s">
        <v>143</v>
      </c>
      <c r="F461" s="11" t="s">
        <v>2680</v>
      </c>
      <c r="G461" s="11" t="s">
        <v>548</v>
      </c>
      <c r="H461" s="12" t="s">
        <v>2681</v>
      </c>
      <c r="I461" s="11" t="s">
        <v>147</v>
      </c>
      <c r="J461" s="11"/>
      <c r="K461" s="11" t="s">
        <v>115</v>
      </c>
      <c r="L461" s="11" t="s">
        <v>118</v>
      </c>
      <c r="M461" s="11" t="s">
        <v>148</v>
      </c>
      <c r="N461" s="10"/>
      <c r="O461" s="11" t="str">
        <f aca="false">IF(N461="",IF(I461="Include","Include",J461),N461)</f>
        <v>Include</v>
      </c>
      <c r="P461" s="11" t="s">
        <v>2682</v>
      </c>
    </row>
    <row r="462" customFormat="false" ht="23.85" hidden="false" customHeight="false" outlineLevel="0" collapsed="false">
      <c r="A462" s="8" t="s">
        <v>2683</v>
      </c>
      <c r="B462" s="8" t="s">
        <v>44</v>
      </c>
      <c r="C462" s="9" t="s">
        <v>2684</v>
      </c>
      <c r="D462" s="8" t="n">
        <v>2025</v>
      </c>
      <c r="E462" s="8" t="s">
        <v>143</v>
      </c>
      <c r="F462" s="8" t="s">
        <v>2685</v>
      </c>
      <c r="G462" s="8" t="s">
        <v>2686</v>
      </c>
      <c r="H462" s="13" t="s">
        <v>2687</v>
      </c>
      <c r="I462" s="8" t="s">
        <v>139</v>
      </c>
      <c r="J462" s="8" t="s">
        <v>87</v>
      </c>
      <c r="K462" s="8"/>
      <c r="L462" s="8"/>
      <c r="M462" s="8"/>
      <c r="N462" s="10"/>
      <c r="O462" s="11" t="str">
        <f aca="false">IF(N462="",IF(I462="Include","Include",J462),N462)</f>
        <v>EC7</v>
      </c>
      <c r="P462" s="11" t="s">
        <v>2688</v>
      </c>
    </row>
    <row r="463" customFormat="false" ht="23.85" hidden="false" customHeight="false" outlineLevel="0" collapsed="false">
      <c r="A463" s="8" t="s">
        <v>2689</v>
      </c>
      <c r="B463" s="8" t="s">
        <v>44</v>
      </c>
      <c r="C463" s="9" t="s">
        <v>2690</v>
      </c>
      <c r="D463" s="8" t="n">
        <v>2024</v>
      </c>
      <c r="E463" s="8" t="s">
        <v>171</v>
      </c>
      <c r="F463" s="8" t="s">
        <v>2691</v>
      </c>
      <c r="G463" s="8" t="s">
        <v>2692</v>
      </c>
      <c r="H463" s="13" t="s">
        <v>2693</v>
      </c>
      <c r="I463" s="8" t="s">
        <v>139</v>
      </c>
      <c r="J463" s="8" t="s">
        <v>85</v>
      </c>
      <c r="K463" s="8"/>
      <c r="L463" s="8"/>
      <c r="M463" s="8"/>
      <c r="N463" s="10"/>
      <c r="O463" s="11" t="str">
        <f aca="false">IF(N463="",IF(I463="Include","Include",J463),N463)</f>
        <v>EC6</v>
      </c>
      <c r="P463" s="11" t="s">
        <v>2694</v>
      </c>
    </row>
    <row r="464" customFormat="false" ht="23.85" hidden="false" customHeight="false" outlineLevel="0" collapsed="false">
      <c r="A464" s="8" t="s">
        <v>2695</v>
      </c>
      <c r="B464" s="8" t="s">
        <v>44</v>
      </c>
      <c r="C464" s="9" t="s">
        <v>2696</v>
      </c>
      <c r="D464" s="8" t="n">
        <v>2026</v>
      </c>
      <c r="E464" s="8" t="s">
        <v>577</v>
      </c>
      <c r="F464" s="8" t="s">
        <v>2697</v>
      </c>
      <c r="G464" s="8" t="s">
        <v>2698</v>
      </c>
      <c r="H464" s="13" t="s">
        <v>2699</v>
      </c>
      <c r="I464" s="8" t="s">
        <v>139</v>
      </c>
      <c r="J464" s="8" t="s">
        <v>85</v>
      </c>
      <c r="K464" s="8"/>
      <c r="L464" s="8"/>
      <c r="M464" s="8"/>
      <c r="N464" s="10"/>
      <c r="O464" s="11" t="str">
        <f aca="false">IF(N464="",IF(I464="Include","Include",J464),N464)</f>
        <v>EC6</v>
      </c>
      <c r="P464" s="11" t="s">
        <v>2700</v>
      </c>
    </row>
    <row r="465" customFormat="false" ht="23.85" hidden="false" customHeight="false" outlineLevel="0" collapsed="false">
      <c r="A465" s="8" t="s">
        <v>2701</v>
      </c>
      <c r="B465" s="8" t="s">
        <v>44</v>
      </c>
      <c r="C465" s="9" t="s">
        <v>2702</v>
      </c>
      <c r="D465" s="8" t="n">
        <v>2026</v>
      </c>
      <c r="E465" s="8" t="s">
        <v>143</v>
      </c>
      <c r="F465" s="8" t="s">
        <v>2703</v>
      </c>
      <c r="G465" s="8" t="s">
        <v>629</v>
      </c>
      <c r="H465" s="8"/>
      <c r="I465" s="8" t="s">
        <v>139</v>
      </c>
      <c r="J465" s="8" t="s">
        <v>85</v>
      </c>
      <c r="K465" s="8"/>
      <c r="L465" s="8"/>
      <c r="M465" s="8"/>
      <c r="N465" s="10"/>
      <c r="O465" s="11" t="str">
        <f aca="false">IF(N465="",IF(I465="Include","Include",J465),N465)</f>
        <v>EC6</v>
      </c>
      <c r="P465" s="11" t="s">
        <v>2704</v>
      </c>
    </row>
    <row r="466" customFormat="false" ht="23.85" hidden="false" customHeight="false" outlineLevel="0" collapsed="false">
      <c r="A466" s="8" t="s">
        <v>2705</v>
      </c>
      <c r="B466" s="8" t="s">
        <v>44</v>
      </c>
      <c r="C466" s="9" t="s">
        <v>2706</v>
      </c>
      <c r="D466" s="8" t="n">
        <v>2026</v>
      </c>
      <c r="E466" s="8" t="s">
        <v>171</v>
      </c>
      <c r="F466" s="8" t="s">
        <v>2707</v>
      </c>
      <c r="G466" s="8" t="s">
        <v>459</v>
      </c>
      <c r="H466" s="13" t="s">
        <v>2708</v>
      </c>
      <c r="I466" s="8" t="s">
        <v>139</v>
      </c>
      <c r="J466" s="8" t="s">
        <v>85</v>
      </c>
      <c r="K466" s="8"/>
      <c r="L466" s="8"/>
      <c r="M466" s="8"/>
      <c r="N466" s="10"/>
      <c r="O466" s="11" t="str">
        <f aca="false">IF(N466="",IF(I466="Include","Include",J466),N466)</f>
        <v>EC6</v>
      </c>
      <c r="P466" s="11" t="s">
        <v>2709</v>
      </c>
    </row>
    <row r="467" customFormat="false" ht="23.85" hidden="false" customHeight="false" outlineLevel="0" collapsed="false">
      <c r="A467" s="8" t="s">
        <v>2710</v>
      </c>
      <c r="B467" s="8" t="s">
        <v>44</v>
      </c>
      <c r="C467" s="9" t="s">
        <v>2711</v>
      </c>
      <c r="D467" s="8" t="n">
        <v>2026</v>
      </c>
      <c r="E467" s="8" t="s">
        <v>143</v>
      </c>
      <c r="F467" s="8" t="s">
        <v>2712</v>
      </c>
      <c r="G467" s="8" t="s">
        <v>2713</v>
      </c>
      <c r="H467" s="13" t="s">
        <v>2714</v>
      </c>
      <c r="I467" s="8" t="s">
        <v>139</v>
      </c>
      <c r="J467" s="8" t="s">
        <v>85</v>
      </c>
      <c r="K467" s="8"/>
      <c r="L467" s="8"/>
      <c r="M467" s="8"/>
      <c r="N467" s="10"/>
      <c r="O467" s="11" t="str">
        <f aca="false">IF(N467="",IF(I467="Include","Include",J467),N467)</f>
        <v>EC6</v>
      </c>
      <c r="P467" s="11" t="s">
        <v>2715</v>
      </c>
    </row>
    <row r="468" customFormat="false" ht="23.85" hidden="false" customHeight="false" outlineLevel="0" collapsed="false">
      <c r="A468" s="11" t="s">
        <v>2716</v>
      </c>
      <c r="B468" s="11" t="s">
        <v>44</v>
      </c>
      <c r="C468" s="2" t="s">
        <v>2717</v>
      </c>
      <c r="D468" s="11" t="n">
        <v>2021</v>
      </c>
      <c r="E468" s="11" t="s">
        <v>171</v>
      </c>
      <c r="F468" s="11" t="s">
        <v>2718</v>
      </c>
      <c r="G468" s="11" t="s">
        <v>2719</v>
      </c>
      <c r="H468" s="12" t="s">
        <v>2720</v>
      </c>
      <c r="I468" s="11" t="s">
        <v>147</v>
      </c>
      <c r="J468" s="11"/>
      <c r="K468" s="11" t="s">
        <v>115</v>
      </c>
      <c r="L468" s="11" t="s">
        <v>118</v>
      </c>
      <c r="M468" s="11" t="s">
        <v>161</v>
      </c>
      <c r="N468" s="10"/>
      <c r="O468" s="11" t="str">
        <f aca="false">IF(N468="",IF(I468="Include","Include",J468),N468)</f>
        <v>Include</v>
      </c>
      <c r="P468" s="11" t="s">
        <v>2721</v>
      </c>
    </row>
    <row r="469" customFormat="false" ht="23.85" hidden="false" customHeight="false" outlineLevel="0" collapsed="false">
      <c r="A469" s="8" t="s">
        <v>2722</v>
      </c>
      <c r="B469" s="8" t="s">
        <v>44</v>
      </c>
      <c r="C469" s="9" t="s">
        <v>2723</v>
      </c>
      <c r="D469" s="8" t="n">
        <v>2025</v>
      </c>
      <c r="E469" s="8" t="s">
        <v>143</v>
      </c>
      <c r="F469" s="8" t="s">
        <v>2724</v>
      </c>
      <c r="G469" s="8" t="s">
        <v>2725</v>
      </c>
      <c r="H469" s="13" t="s">
        <v>2726</v>
      </c>
      <c r="I469" s="8" t="s">
        <v>139</v>
      </c>
      <c r="J469" s="8" t="s">
        <v>85</v>
      </c>
      <c r="K469" s="8"/>
      <c r="L469" s="8"/>
      <c r="M469" s="8"/>
      <c r="N469" s="10"/>
      <c r="O469" s="11" t="str">
        <f aca="false">IF(N469="",IF(I469="Include","Include",J469),N469)</f>
        <v>EC6</v>
      </c>
      <c r="P469" s="11" t="s">
        <v>2727</v>
      </c>
    </row>
    <row r="470" customFormat="false" ht="23.85" hidden="false" customHeight="false" outlineLevel="0" collapsed="false">
      <c r="A470" s="8" t="s">
        <v>2728</v>
      </c>
      <c r="B470" s="8" t="s">
        <v>44</v>
      </c>
      <c r="C470" s="9" t="s">
        <v>2729</v>
      </c>
      <c r="D470" s="8" t="n">
        <v>2025</v>
      </c>
      <c r="E470" s="8" t="s">
        <v>171</v>
      </c>
      <c r="F470" s="8" t="s">
        <v>2730</v>
      </c>
      <c r="G470" s="8" t="s">
        <v>459</v>
      </c>
      <c r="H470" s="13" t="s">
        <v>2731</v>
      </c>
      <c r="I470" s="8" t="s">
        <v>139</v>
      </c>
      <c r="J470" s="8" t="s">
        <v>85</v>
      </c>
      <c r="K470" s="8"/>
      <c r="L470" s="8"/>
      <c r="M470" s="8"/>
      <c r="N470" s="10"/>
      <c r="O470" s="11" t="str">
        <f aca="false">IF(N470="",IF(I470="Include","Include",J470),N470)</f>
        <v>EC6</v>
      </c>
      <c r="P470" s="11" t="s">
        <v>2732</v>
      </c>
    </row>
    <row r="471" customFormat="false" ht="23.85" hidden="false" customHeight="false" outlineLevel="0" collapsed="false">
      <c r="A471" s="11" t="s">
        <v>2733</v>
      </c>
      <c r="B471" s="11" t="s">
        <v>44</v>
      </c>
      <c r="C471" s="2" t="s">
        <v>2734</v>
      </c>
      <c r="D471" s="11" t="n">
        <v>2023</v>
      </c>
      <c r="E471" s="11" t="s">
        <v>143</v>
      </c>
      <c r="F471" s="11" t="s">
        <v>2735</v>
      </c>
      <c r="G471" s="11" t="s">
        <v>2568</v>
      </c>
      <c r="H471" s="12" t="s">
        <v>2736</v>
      </c>
      <c r="I471" s="11" t="s">
        <v>147</v>
      </c>
      <c r="J471" s="11"/>
      <c r="K471" s="11" t="s">
        <v>115</v>
      </c>
      <c r="L471" s="11" t="s">
        <v>120</v>
      </c>
      <c r="M471" s="11" t="s">
        <v>161</v>
      </c>
      <c r="N471" s="10"/>
      <c r="O471" s="11" t="str">
        <f aca="false">IF(N471="",IF(I471="Include","Include",J471),N471)</f>
        <v>Include</v>
      </c>
      <c r="P471" s="11" t="s">
        <v>2737</v>
      </c>
    </row>
    <row r="472" customFormat="false" ht="35.05" hidden="false" customHeight="false" outlineLevel="0" collapsed="false">
      <c r="A472" s="8" t="s">
        <v>2738</v>
      </c>
      <c r="B472" s="8" t="s">
        <v>44</v>
      </c>
      <c r="C472" s="9" t="s">
        <v>2739</v>
      </c>
      <c r="D472" s="8" t="n">
        <v>2025</v>
      </c>
      <c r="E472" s="8" t="s">
        <v>171</v>
      </c>
      <c r="F472" s="8" t="s">
        <v>2740</v>
      </c>
      <c r="G472" s="8" t="s">
        <v>387</v>
      </c>
      <c r="H472" s="13" t="s">
        <v>2741</v>
      </c>
      <c r="I472" s="8" t="s">
        <v>139</v>
      </c>
      <c r="J472" s="8" t="s">
        <v>85</v>
      </c>
      <c r="K472" s="8"/>
      <c r="L472" s="8"/>
      <c r="M472" s="8"/>
      <c r="N472" s="10"/>
      <c r="O472" s="11" t="str">
        <f aca="false">IF(N472="",IF(I472="Include","Include",J472),N472)</f>
        <v>EC6</v>
      </c>
      <c r="P472" s="11" t="s">
        <v>2742</v>
      </c>
    </row>
    <row r="473" customFormat="false" ht="15" hidden="false" customHeight="false" outlineLevel="0" collapsed="false">
      <c r="A473" s="8" t="s">
        <v>2743</v>
      </c>
      <c r="B473" s="8" t="s">
        <v>44</v>
      </c>
      <c r="C473" s="9" t="s">
        <v>2744</v>
      </c>
      <c r="D473" s="8" t="n">
        <v>2022</v>
      </c>
      <c r="E473" s="8" t="s">
        <v>171</v>
      </c>
      <c r="F473" s="8" t="s">
        <v>2745</v>
      </c>
      <c r="G473" s="8" t="s">
        <v>2746</v>
      </c>
      <c r="H473" s="13" t="s">
        <v>2747</v>
      </c>
      <c r="I473" s="8" t="s">
        <v>139</v>
      </c>
      <c r="J473" s="8" t="s">
        <v>89</v>
      </c>
      <c r="K473" s="8"/>
      <c r="L473" s="8"/>
      <c r="M473" s="8"/>
      <c r="N473" s="10"/>
      <c r="O473" s="11" t="str">
        <f aca="false">IF(N473="",IF(I473="Include","Include",J473),N473)</f>
        <v>EC8</v>
      </c>
      <c r="P473" s="11" t="s">
        <v>2748</v>
      </c>
    </row>
    <row r="474" customFormat="false" ht="15" hidden="false" customHeight="false" outlineLevel="0" collapsed="false">
      <c r="A474" s="8" t="s">
        <v>2749</v>
      </c>
      <c r="B474" s="8" t="s">
        <v>44</v>
      </c>
      <c r="C474" s="9" t="s">
        <v>2750</v>
      </c>
      <c r="D474" s="8" t="n">
        <v>2026</v>
      </c>
      <c r="E474" s="8" t="s">
        <v>577</v>
      </c>
      <c r="F474" s="8" t="s">
        <v>2751</v>
      </c>
      <c r="G474" s="8" t="s">
        <v>2752</v>
      </c>
      <c r="H474" s="13" t="s">
        <v>2753</v>
      </c>
      <c r="I474" s="8" t="s">
        <v>139</v>
      </c>
      <c r="J474" s="8" t="s">
        <v>85</v>
      </c>
      <c r="K474" s="8"/>
      <c r="L474" s="8"/>
      <c r="M474" s="8"/>
      <c r="N474" s="10"/>
      <c r="O474" s="11" t="str">
        <f aca="false">IF(N474="",IF(I474="Include","Include",J474),N474)</f>
        <v>EC6</v>
      </c>
      <c r="P474" s="11" t="s">
        <v>2754</v>
      </c>
    </row>
    <row r="475" customFormat="false" ht="23.85" hidden="false" customHeight="false" outlineLevel="0" collapsed="false">
      <c r="A475" s="8" t="s">
        <v>2755</v>
      </c>
      <c r="B475" s="8" t="s">
        <v>44</v>
      </c>
      <c r="C475" s="9" t="s">
        <v>2756</v>
      </c>
      <c r="D475" s="8" t="n">
        <v>2025</v>
      </c>
      <c r="E475" s="8" t="s">
        <v>171</v>
      </c>
      <c r="F475" s="8" t="s">
        <v>2757</v>
      </c>
      <c r="G475" s="8" t="s">
        <v>2758</v>
      </c>
      <c r="H475" s="13" t="s">
        <v>2759</v>
      </c>
      <c r="I475" s="8" t="s">
        <v>139</v>
      </c>
      <c r="J475" s="8" t="s">
        <v>85</v>
      </c>
      <c r="K475" s="8"/>
      <c r="L475" s="8"/>
      <c r="M475" s="8"/>
      <c r="N475" s="10"/>
      <c r="O475" s="11" t="str">
        <f aca="false">IF(N475="",IF(I475="Include","Include",J475),N475)</f>
        <v>EC6</v>
      </c>
      <c r="P475" s="11" t="s">
        <v>2760</v>
      </c>
    </row>
    <row r="476" customFormat="false" ht="35.05" hidden="false" customHeight="false" outlineLevel="0" collapsed="false">
      <c r="A476" s="8" t="s">
        <v>2761</v>
      </c>
      <c r="B476" s="8" t="s">
        <v>44</v>
      </c>
      <c r="C476" s="9" t="s">
        <v>2762</v>
      </c>
      <c r="D476" s="8" t="n">
        <v>2023</v>
      </c>
      <c r="E476" s="8" t="s">
        <v>143</v>
      </c>
      <c r="F476" s="8" t="s">
        <v>2763</v>
      </c>
      <c r="G476" s="8" t="s">
        <v>441</v>
      </c>
      <c r="H476" s="13" t="s">
        <v>2764</v>
      </c>
      <c r="I476" s="8" t="s">
        <v>139</v>
      </c>
      <c r="J476" s="8" t="s">
        <v>85</v>
      </c>
      <c r="K476" s="8"/>
      <c r="L476" s="8"/>
      <c r="M476" s="8"/>
      <c r="N476" s="10"/>
      <c r="O476" s="11" t="str">
        <f aca="false">IF(N476="",IF(I476="Include","Include",J476),N476)</f>
        <v>EC6</v>
      </c>
      <c r="P476" s="11" t="s">
        <v>2765</v>
      </c>
    </row>
    <row r="477" customFormat="false" ht="23.85" hidden="false" customHeight="false" outlineLevel="0" collapsed="false">
      <c r="A477" s="11" t="s">
        <v>2766</v>
      </c>
      <c r="B477" s="11" t="s">
        <v>44</v>
      </c>
      <c r="C477" s="2" t="s">
        <v>2767</v>
      </c>
      <c r="D477" s="11" t="n">
        <v>2021</v>
      </c>
      <c r="E477" s="11" t="s">
        <v>143</v>
      </c>
      <c r="F477" s="11" t="s">
        <v>2768</v>
      </c>
      <c r="G477" s="11" t="s">
        <v>2769</v>
      </c>
      <c r="H477" s="12" t="s">
        <v>2770</v>
      </c>
      <c r="I477" s="11" t="s">
        <v>147</v>
      </c>
      <c r="J477" s="11"/>
      <c r="K477" s="11" t="s">
        <v>115</v>
      </c>
      <c r="L477" s="11" t="s">
        <v>116</v>
      </c>
      <c r="M477" s="11" t="s">
        <v>148</v>
      </c>
      <c r="N477" s="10"/>
      <c r="O477" s="11" t="str">
        <f aca="false">IF(N477="",IF(I477="Include","Include",J477),N477)</f>
        <v>Include</v>
      </c>
      <c r="P477" s="11" t="s">
        <v>2771</v>
      </c>
    </row>
    <row r="478" customFormat="false" ht="35.05" hidden="false" customHeight="false" outlineLevel="0" collapsed="false">
      <c r="A478" s="11" t="s">
        <v>2772</v>
      </c>
      <c r="B478" s="11" t="s">
        <v>44</v>
      </c>
      <c r="C478" s="2" t="s">
        <v>2773</v>
      </c>
      <c r="D478" s="11" t="n">
        <v>2026</v>
      </c>
      <c r="E478" s="11" t="s">
        <v>171</v>
      </c>
      <c r="F478" s="11" t="s">
        <v>2774</v>
      </c>
      <c r="G478" s="11" t="s">
        <v>387</v>
      </c>
      <c r="H478" s="12" t="s">
        <v>2775</v>
      </c>
      <c r="I478" s="11" t="s">
        <v>147</v>
      </c>
      <c r="J478" s="11"/>
      <c r="K478" s="11" t="s">
        <v>115</v>
      </c>
      <c r="L478" s="11" t="s">
        <v>118</v>
      </c>
      <c r="M478" s="11" t="s">
        <v>161</v>
      </c>
      <c r="N478" s="10"/>
      <c r="O478" s="11" t="str">
        <f aca="false">IF(N478="",IF(I478="Include","Include",J478),N478)</f>
        <v>Include</v>
      </c>
      <c r="P478" s="11" t="s">
        <v>2776</v>
      </c>
    </row>
    <row r="479" customFormat="false" ht="15" hidden="false" customHeight="false" outlineLevel="0" collapsed="false">
      <c r="A479" s="8" t="s">
        <v>2777</v>
      </c>
      <c r="B479" s="8" t="s">
        <v>44</v>
      </c>
      <c r="C479" s="9" t="s">
        <v>2778</v>
      </c>
      <c r="D479" s="8" t="n">
        <v>2026</v>
      </c>
      <c r="E479" s="8" t="s">
        <v>143</v>
      </c>
      <c r="F479" s="8" t="s">
        <v>2779</v>
      </c>
      <c r="G479" s="8" t="s">
        <v>1218</v>
      </c>
      <c r="H479" s="13" t="s">
        <v>2780</v>
      </c>
      <c r="I479" s="8" t="s">
        <v>139</v>
      </c>
      <c r="J479" s="8" t="s">
        <v>85</v>
      </c>
      <c r="K479" s="8"/>
      <c r="L479" s="8"/>
      <c r="M479" s="8"/>
      <c r="N479" s="10"/>
      <c r="O479" s="11" t="str">
        <f aca="false">IF(N479="",IF(I479="Include","Include",J479),N479)</f>
        <v>EC6</v>
      </c>
      <c r="P479" s="11" t="s">
        <v>2781</v>
      </c>
    </row>
    <row r="480" customFormat="false" ht="23.85" hidden="false" customHeight="false" outlineLevel="0" collapsed="false">
      <c r="A480" s="8" t="s">
        <v>2782</v>
      </c>
      <c r="B480" s="8" t="s">
        <v>44</v>
      </c>
      <c r="C480" s="9" t="s">
        <v>2783</v>
      </c>
      <c r="D480" s="8" t="n">
        <v>2026</v>
      </c>
      <c r="E480" s="8" t="s">
        <v>143</v>
      </c>
      <c r="F480" s="8" t="s">
        <v>2784</v>
      </c>
      <c r="G480" s="8" t="s">
        <v>481</v>
      </c>
      <c r="H480" s="13" t="s">
        <v>2785</v>
      </c>
      <c r="I480" s="8" t="s">
        <v>139</v>
      </c>
      <c r="J480" s="8" t="s">
        <v>85</v>
      </c>
      <c r="K480" s="8"/>
      <c r="L480" s="8"/>
      <c r="M480" s="8"/>
      <c r="N480" s="10"/>
      <c r="O480" s="11" t="str">
        <f aca="false">IF(N480="",IF(I480="Include","Include",J480),N480)</f>
        <v>EC6</v>
      </c>
      <c r="P480" s="11" t="s">
        <v>2786</v>
      </c>
    </row>
    <row r="481" customFormat="false" ht="23.85" hidden="false" customHeight="false" outlineLevel="0" collapsed="false">
      <c r="A481" s="8" t="s">
        <v>2787</v>
      </c>
      <c r="B481" s="8" t="s">
        <v>44</v>
      </c>
      <c r="C481" s="9" t="s">
        <v>2788</v>
      </c>
      <c r="D481" s="8" t="n">
        <v>2026</v>
      </c>
      <c r="E481" s="8" t="s">
        <v>171</v>
      </c>
      <c r="F481" s="8" t="s">
        <v>2789</v>
      </c>
      <c r="G481" s="8" t="s">
        <v>2306</v>
      </c>
      <c r="H481" s="13" t="s">
        <v>2790</v>
      </c>
      <c r="I481" s="8" t="s">
        <v>139</v>
      </c>
      <c r="J481" s="8" t="s">
        <v>85</v>
      </c>
      <c r="K481" s="8"/>
      <c r="L481" s="8"/>
      <c r="M481" s="8"/>
      <c r="N481" s="10"/>
      <c r="O481" s="11" t="str">
        <f aca="false">IF(N481="",IF(I481="Include","Include",J481),N481)</f>
        <v>EC6</v>
      </c>
      <c r="P481" s="11" t="s">
        <v>2791</v>
      </c>
    </row>
    <row r="482" customFormat="false" ht="23.85" hidden="false" customHeight="false" outlineLevel="0" collapsed="false">
      <c r="A482" s="11" t="s">
        <v>2792</v>
      </c>
      <c r="B482" s="11" t="s">
        <v>44</v>
      </c>
      <c r="C482" s="2" t="s">
        <v>2793</v>
      </c>
      <c r="D482" s="11" t="n">
        <v>2026</v>
      </c>
      <c r="E482" s="11" t="s">
        <v>171</v>
      </c>
      <c r="F482" s="11" t="s">
        <v>2794</v>
      </c>
      <c r="G482" s="11" t="s">
        <v>2795</v>
      </c>
      <c r="H482" s="12" t="s">
        <v>2796</v>
      </c>
      <c r="I482" s="11" t="s">
        <v>147</v>
      </c>
      <c r="J482" s="11"/>
      <c r="K482" s="11" t="s">
        <v>115</v>
      </c>
      <c r="L482" s="11" t="s">
        <v>118</v>
      </c>
      <c r="M482" s="11" t="s">
        <v>148</v>
      </c>
      <c r="N482" s="10"/>
      <c r="O482" s="11" t="str">
        <f aca="false">IF(N482="",IF(I482="Include","Include",J482),N482)</f>
        <v>Include</v>
      </c>
      <c r="P482" s="11" t="s">
        <v>2797</v>
      </c>
    </row>
    <row r="483" customFormat="false" ht="23.85" hidden="false" customHeight="false" outlineLevel="0" collapsed="false">
      <c r="A483" s="8" t="s">
        <v>2798</v>
      </c>
      <c r="B483" s="8" t="s">
        <v>44</v>
      </c>
      <c r="C483" s="9" t="s">
        <v>2799</v>
      </c>
      <c r="D483" s="8" t="n">
        <v>2026</v>
      </c>
      <c r="E483" s="8" t="s">
        <v>143</v>
      </c>
      <c r="F483" s="8" t="s">
        <v>2800</v>
      </c>
      <c r="G483" s="8" t="s">
        <v>2801</v>
      </c>
      <c r="H483" s="13" t="s">
        <v>2802</v>
      </c>
      <c r="I483" s="8" t="s">
        <v>139</v>
      </c>
      <c r="J483" s="8" t="s">
        <v>85</v>
      </c>
      <c r="K483" s="8"/>
      <c r="L483" s="8"/>
      <c r="M483" s="8"/>
      <c r="N483" s="10"/>
      <c r="O483" s="11" t="str">
        <f aca="false">IF(N483="",IF(I483="Include","Include",J483),N483)</f>
        <v>EC6</v>
      </c>
      <c r="P483" s="11" t="s">
        <v>2803</v>
      </c>
    </row>
    <row r="484" customFormat="false" ht="23.85" hidden="false" customHeight="false" outlineLevel="0" collapsed="false">
      <c r="A484" s="8" t="s">
        <v>2804</v>
      </c>
      <c r="B484" s="8" t="s">
        <v>44</v>
      </c>
      <c r="C484" s="9" t="s">
        <v>2805</v>
      </c>
      <c r="D484" s="8" t="n">
        <v>2026</v>
      </c>
      <c r="E484" s="8" t="s">
        <v>143</v>
      </c>
      <c r="F484" s="8" t="s">
        <v>2806</v>
      </c>
      <c r="G484" s="8" t="s">
        <v>2807</v>
      </c>
      <c r="H484" s="13" t="s">
        <v>2808</v>
      </c>
      <c r="I484" s="8" t="s">
        <v>139</v>
      </c>
      <c r="J484" s="8" t="s">
        <v>85</v>
      </c>
      <c r="K484" s="8"/>
      <c r="L484" s="8"/>
      <c r="M484" s="8"/>
      <c r="N484" s="10"/>
      <c r="O484" s="11" t="str">
        <f aca="false">IF(N484="",IF(I484="Include","Include",J484),N484)</f>
        <v>EC6</v>
      </c>
      <c r="P484" s="11" t="s">
        <v>2809</v>
      </c>
    </row>
    <row r="485" customFormat="false" ht="23.85" hidden="false" customHeight="false" outlineLevel="0" collapsed="false">
      <c r="A485" s="11" t="s">
        <v>2810</v>
      </c>
      <c r="B485" s="11" t="s">
        <v>44</v>
      </c>
      <c r="C485" s="2" t="s">
        <v>2811</v>
      </c>
      <c r="D485" s="11" t="n">
        <v>2019</v>
      </c>
      <c r="E485" s="11" t="s">
        <v>143</v>
      </c>
      <c r="F485" s="11" t="s">
        <v>2812</v>
      </c>
      <c r="G485" s="11" t="s">
        <v>2813</v>
      </c>
      <c r="H485" s="12" t="s">
        <v>2814</v>
      </c>
      <c r="I485" s="11" t="s">
        <v>147</v>
      </c>
      <c r="J485" s="11"/>
      <c r="K485" s="11" t="s">
        <v>115</v>
      </c>
      <c r="L485" s="11" t="s">
        <v>113</v>
      </c>
      <c r="M485" s="11" t="s">
        <v>148</v>
      </c>
      <c r="N485" s="10"/>
      <c r="O485" s="11" t="str">
        <f aca="false">IF(N485="",IF(I485="Include","Include",J485),N485)</f>
        <v>Include</v>
      </c>
      <c r="P485" s="11" t="s">
        <v>2815</v>
      </c>
    </row>
    <row r="486" customFormat="false" ht="23.85" hidden="false" customHeight="false" outlineLevel="0" collapsed="false">
      <c r="A486" s="8" t="s">
        <v>2816</v>
      </c>
      <c r="B486" s="8" t="s">
        <v>44</v>
      </c>
      <c r="C486" s="9" t="s">
        <v>2817</v>
      </c>
      <c r="D486" s="8" t="n">
        <v>2025</v>
      </c>
      <c r="E486" s="8" t="s">
        <v>171</v>
      </c>
      <c r="F486" s="8" t="s">
        <v>2818</v>
      </c>
      <c r="G486" s="8" t="s">
        <v>225</v>
      </c>
      <c r="H486" s="13" t="s">
        <v>2819</v>
      </c>
      <c r="I486" s="8" t="s">
        <v>139</v>
      </c>
      <c r="J486" s="8" t="s">
        <v>85</v>
      </c>
      <c r="K486" s="8"/>
      <c r="L486" s="8"/>
      <c r="M486" s="8"/>
      <c r="N486" s="10"/>
      <c r="O486" s="11" t="str">
        <f aca="false">IF(N486="",IF(I486="Include","Include",J486),N486)</f>
        <v>EC6</v>
      </c>
      <c r="P486" s="11" t="s">
        <v>2820</v>
      </c>
    </row>
    <row r="487" customFormat="false" ht="23.85" hidden="false" customHeight="false" outlineLevel="0" collapsed="false">
      <c r="A487" s="8" t="s">
        <v>2821</v>
      </c>
      <c r="B487" s="8" t="s">
        <v>44</v>
      </c>
      <c r="C487" s="9" t="s">
        <v>2822</v>
      </c>
      <c r="D487" s="8" t="n">
        <v>2025</v>
      </c>
      <c r="E487" s="8" t="s">
        <v>143</v>
      </c>
      <c r="F487" s="8" t="s">
        <v>1832</v>
      </c>
      <c r="G487" s="8" t="s">
        <v>2823</v>
      </c>
      <c r="H487" s="13" t="s">
        <v>2824</v>
      </c>
      <c r="I487" s="8" t="s">
        <v>139</v>
      </c>
      <c r="J487" s="8" t="s">
        <v>81</v>
      </c>
      <c r="K487" s="8"/>
      <c r="L487" s="8"/>
      <c r="M487" s="8"/>
      <c r="N487" s="10"/>
      <c r="O487" s="11" t="str">
        <f aca="false">IF(N487="",IF(I487="Include","Include",J487),N487)</f>
        <v>EC4</v>
      </c>
      <c r="P487" s="11" t="s">
        <v>2825</v>
      </c>
    </row>
    <row r="488" customFormat="false" ht="23.85" hidden="false" customHeight="false" outlineLevel="0" collapsed="false">
      <c r="A488" s="8" t="s">
        <v>2826</v>
      </c>
      <c r="B488" s="8" t="s">
        <v>44</v>
      </c>
      <c r="C488" s="9" t="s">
        <v>2827</v>
      </c>
      <c r="D488" s="8" t="n">
        <v>2025</v>
      </c>
      <c r="E488" s="8" t="s">
        <v>143</v>
      </c>
      <c r="F488" s="8" t="s">
        <v>2828</v>
      </c>
      <c r="G488" s="8" t="s">
        <v>2829</v>
      </c>
      <c r="H488" s="13" t="s">
        <v>2830</v>
      </c>
      <c r="I488" s="8" t="s">
        <v>139</v>
      </c>
      <c r="J488" s="8" t="s">
        <v>85</v>
      </c>
      <c r="K488" s="8"/>
      <c r="L488" s="8"/>
      <c r="M488" s="8"/>
      <c r="N488" s="10"/>
      <c r="O488" s="11" t="str">
        <f aca="false">IF(N488="",IF(I488="Include","Include",J488),N488)</f>
        <v>EC6</v>
      </c>
      <c r="P488" s="11" t="s">
        <v>2831</v>
      </c>
    </row>
    <row r="489" customFormat="false" ht="35.05" hidden="false" customHeight="false" outlineLevel="0" collapsed="false">
      <c r="A489" s="8" t="s">
        <v>2832</v>
      </c>
      <c r="B489" s="8" t="s">
        <v>44</v>
      </c>
      <c r="C489" s="9" t="s">
        <v>2833</v>
      </c>
      <c r="D489" s="8" t="n">
        <v>2026</v>
      </c>
      <c r="E489" s="8" t="s">
        <v>171</v>
      </c>
      <c r="F489" s="8" t="s">
        <v>2834</v>
      </c>
      <c r="G489" s="8" t="s">
        <v>459</v>
      </c>
      <c r="H489" s="13" t="s">
        <v>2835</v>
      </c>
      <c r="I489" s="8" t="s">
        <v>139</v>
      </c>
      <c r="J489" s="8" t="s">
        <v>85</v>
      </c>
      <c r="K489" s="8"/>
      <c r="L489" s="8"/>
      <c r="M489" s="8"/>
      <c r="N489" s="10"/>
      <c r="O489" s="11" t="str">
        <f aca="false">IF(N489="",IF(I489="Include","Include",J489),N489)</f>
        <v>EC6</v>
      </c>
      <c r="P489" s="11" t="s">
        <v>2836</v>
      </c>
    </row>
    <row r="490" customFormat="false" ht="23.85" hidden="false" customHeight="false" outlineLevel="0" collapsed="false">
      <c r="A490" s="11" t="s">
        <v>2837</v>
      </c>
      <c r="B490" s="11" t="s">
        <v>44</v>
      </c>
      <c r="C490" s="2" t="s">
        <v>2838</v>
      </c>
      <c r="D490" s="11" t="n">
        <v>2025</v>
      </c>
      <c r="E490" s="11" t="s">
        <v>171</v>
      </c>
      <c r="F490" s="11" t="s">
        <v>2839</v>
      </c>
      <c r="G490" s="11" t="s">
        <v>2840</v>
      </c>
      <c r="H490" s="12" t="s">
        <v>2841</v>
      </c>
      <c r="I490" s="11" t="s">
        <v>147</v>
      </c>
      <c r="J490" s="11"/>
      <c r="K490" s="11" t="s">
        <v>115</v>
      </c>
      <c r="L490" s="11" t="s">
        <v>120</v>
      </c>
      <c r="M490" s="11" t="s">
        <v>161</v>
      </c>
      <c r="N490" s="10"/>
      <c r="O490" s="11" t="str">
        <f aca="false">IF(N490="",IF(I490="Include","Include",J490),N490)</f>
        <v>Include</v>
      </c>
      <c r="P490" s="11" t="s">
        <v>2842</v>
      </c>
    </row>
    <row r="491" customFormat="false" ht="23.85" hidden="false" customHeight="false" outlineLevel="0" collapsed="false">
      <c r="A491" s="11" t="s">
        <v>2843</v>
      </c>
      <c r="B491" s="11" t="s">
        <v>44</v>
      </c>
      <c r="C491" s="2" t="s">
        <v>2844</v>
      </c>
      <c r="D491" s="11" t="n">
        <v>2026</v>
      </c>
      <c r="E491" s="11" t="s">
        <v>143</v>
      </c>
      <c r="F491" s="11" t="s">
        <v>2845</v>
      </c>
      <c r="G491" s="11" t="s">
        <v>2846</v>
      </c>
      <c r="H491" s="12" t="s">
        <v>2847</v>
      </c>
      <c r="I491" s="11" t="s">
        <v>147</v>
      </c>
      <c r="J491" s="11"/>
      <c r="K491" s="11" t="s">
        <v>115</v>
      </c>
      <c r="L491" s="11" t="s">
        <v>118</v>
      </c>
      <c r="M491" s="11" t="s">
        <v>148</v>
      </c>
      <c r="N491" s="10"/>
      <c r="O491" s="11" t="str">
        <f aca="false">IF(N491="",IF(I491="Include","Include",J491),N491)</f>
        <v>Include</v>
      </c>
      <c r="P491" s="11" t="s">
        <v>2848</v>
      </c>
    </row>
    <row r="492" customFormat="false" ht="23.85" hidden="false" customHeight="false" outlineLevel="0" collapsed="false">
      <c r="A492" s="8" t="s">
        <v>2849</v>
      </c>
      <c r="B492" s="8" t="s">
        <v>44</v>
      </c>
      <c r="C492" s="9" t="s">
        <v>2850</v>
      </c>
      <c r="D492" s="8" t="n">
        <v>2026</v>
      </c>
      <c r="E492" s="8" t="s">
        <v>171</v>
      </c>
      <c r="F492" s="8" t="s">
        <v>2851</v>
      </c>
      <c r="G492" s="8" t="s">
        <v>2852</v>
      </c>
      <c r="H492" s="13" t="s">
        <v>2853</v>
      </c>
      <c r="I492" s="8" t="s">
        <v>139</v>
      </c>
      <c r="J492" s="8" t="s">
        <v>85</v>
      </c>
      <c r="K492" s="8"/>
      <c r="L492" s="8"/>
      <c r="M492" s="8"/>
      <c r="N492" s="10"/>
      <c r="O492" s="11" t="str">
        <f aca="false">IF(N492="",IF(I492="Include","Include",J492),N492)</f>
        <v>EC6</v>
      </c>
      <c r="P492" s="11" t="s">
        <v>2854</v>
      </c>
    </row>
    <row r="493" customFormat="false" ht="23.85" hidden="false" customHeight="false" outlineLevel="0" collapsed="false">
      <c r="A493" s="8" t="s">
        <v>2855</v>
      </c>
      <c r="B493" s="8" t="s">
        <v>44</v>
      </c>
      <c r="C493" s="9" t="s">
        <v>2856</v>
      </c>
      <c r="D493" s="8" t="n">
        <v>2026</v>
      </c>
      <c r="E493" s="8" t="s">
        <v>171</v>
      </c>
      <c r="F493" s="8"/>
      <c r="G493" s="8" t="s">
        <v>481</v>
      </c>
      <c r="H493" s="8"/>
      <c r="I493" s="8" t="s">
        <v>139</v>
      </c>
      <c r="J493" s="8" t="s">
        <v>81</v>
      </c>
      <c r="K493" s="8"/>
      <c r="L493" s="8"/>
      <c r="M493" s="8"/>
      <c r="N493" s="10"/>
      <c r="O493" s="11" t="str">
        <f aca="false">IF(N493="",IF(I493="Include","Include",J493),N493)</f>
        <v>EC4</v>
      </c>
      <c r="P493" s="11" t="s">
        <v>2857</v>
      </c>
    </row>
    <row r="494" customFormat="false" ht="35.05" hidden="false" customHeight="false" outlineLevel="0" collapsed="false">
      <c r="A494" s="11" t="s">
        <v>2858</v>
      </c>
      <c r="B494" s="11" t="s">
        <v>44</v>
      </c>
      <c r="C494" s="2" t="s">
        <v>2859</v>
      </c>
      <c r="D494" s="11" t="n">
        <v>2026</v>
      </c>
      <c r="E494" s="11" t="s">
        <v>143</v>
      </c>
      <c r="F494" s="11" t="s">
        <v>2860</v>
      </c>
      <c r="G494" s="11" t="s">
        <v>2861</v>
      </c>
      <c r="H494" s="12" t="s">
        <v>2862</v>
      </c>
      <c r="I494" s="11" t="s">
        <v>147</v>
      </c>
      <c r="J494" s="11"/>
      <c r="K494" s="11" t="s">
        <v>115</v>
      </c>
      <c r="L494" s="11" t="s">
        <v>118</v>
      </c>
      <c r="M494" s="11" t="s">
        <v>161</v>
      </c>
      <c r="N494" s="10"/>
      <c r="O494" s="11" t="str">
        <f aca="false">IF(N494="",IF(I494="Include","Include",J494),N494)</f>
        <v>Include</v>
      </c>
      <c r="P494" s="11" t="s">
        <v>2863</v>
      </c>
    </row>
    <row r="495" customFormat="false" ht="23.85" hidden="false" customHeight="false" outlineLevel="0" collapsed="false">
      <c r="A495" s="8" t="s">
        <v>2864</v>
      </c>
      <c r="B495" s="8" t="s">
        <v>44</v>
      </c>
      <c r="C495" s="9" t="s">
        <v>2865</v>
      </c>
      <c r="D495" s="8" t="n">
        <v>2026</v>
      </c>
      <c r="E495" s="8" t="s">
        <v>143</v>
      </c>
      <c r="F495" s="8" t="s">
        <v>2866</v>
      </c>
      <c r="G495" s="8" t="s">
        <v>2867</v>
      </c>
      <c r="H495" s="13" t="s">
        <v>2868</v>
      </c>
      <c r="I495" s="8" t="s">
        <v>139</v>
      </c>
      <c r="J495" s="8" t="s">
        <v>85</v>
      </c>
      <c r="K495" s="8"/>
      <c r="L495" s="8"/>
      <c r="M495" s="8"/>
      <c r="N495" s="10"/>
      <c r="O495" s="11" t="str">
        <f aca="false">IF(N495="",IF(I495="Include","Include",J495),N495)</f>
        <v>EC6</v>
      </c>
      <c r="P495" s="11" t="s">
        <v>2869</v>
      </c>
    </row>
    <row r="496" customFormat="false" ht="23.85" hidden="false" customHeight="false" outlineLevel="0" collapsed="false">
      <c r="A496" s="8" t="s">
        <v>2870</v>
      </c>
      <c r="B496" s="8" t="s">
        <v>44</v>
      </c>
      <c r="C496" s="9" t="s">
        <v>2871</v>
      </c>
      <c r="D496" s="8" t="n">
        <v>2025</v>
      </c>
      <c r="E496" s="8" t="s">
        <v>143</v>
      </c>
      <c r="F496" s="8" t="s">
        <v>2872</v>
      </c>
      <c r="G496" s="8" t="s">
        <v>2873</v>
      </c>
      <c r="H496" s="13" t="s">
        <v>2874</v>
      </c>
      <c r="I496" s="8" t="s">
        <v>139</v>
      </c>
      <c r="J496" s="8" t="s">
        <v>85</v>
      </c>
      <c r="K496" s="8"/>
      <c r="L496" s="8"/>
      <c r="M496" s="8"/>
      <c r="N496" s="10"/>
      <c r="O496" s="11" t="str">
        <f aca="false">IF(N496="",IF(I496="Include","Include",J496),N496)</f>
        <v>EC6</v>
      </c>
      <c r="P496" s="11" t="s">
        <v>2875</v>
      </c>
    </row>
    <row r="497" customFormat="false" ht="23.85" hidden="false" customHeight="false" outlineLevel="0" collapsed="false">
      <c r="A497" s="11" t="s">
        <v>2876</v>
      </c>
      <c r="B497" s="11" t="s">
        <v>44</v>
      </c>
      <c r="C497" s="2" t="s">
        <v>2877</v>
      </c>
      <c r="D497" s="11" t="n">
        <v>2025</v>
      </c>
      <c r="E497" s="11" t="s">
        <v>171</v>
      </c>
      <c r="F497" s="11" t="s">
        <v>2878</v>
      </c>
      <c r="G497" s="11" t="s">
        <v>225</v>
      </c>
      <c r="H497" s="12" t="s">
        <v>2879</v>
      </c>
      <c r="I497" s="11" t="s">
        <v>147</v>
      </c>
      <c r="J497" s="11"/>
      <c r="K497" s="11" t="s">
        <v>115</v>
      </c>
      <c r="L497" s="11" t="s">
        <v>116</v>
      </c>
      <c r="M497" s="11" t="s">
        <v>161</v>
      </c>
      <c r="N497" s="10"/>
      <c r="O497" s="11" t="str">
        <f aca="false">IF(N497="",IF(I497="Include","Include",J497),N497)</f>
        <v>Include</v>
      </c>
      <c r="P497" s="11" t="s">
        <v>2880</v>
      </c>
    </row>
    <row r="498" customFormat="false" ht="23.85" hidden="false" customHeight="false" outlineLevel="0" collapsed="false">
      <c r="A498" s="8" t="s">
        <v>2881</v>
      </c>
      <c r="B498" s="8" t="s">
        <v>44</v>
      </c>
      <c r="C498" s="9" t="s">
        <v>2882</v>
      </c>
      <c r="D498" s="8" t="n">
        <v>2026</v>
      </c>
      <c r="E498" s="8" t="s">
        <v>171</v>
      </c>
      <c r="F498" s="8" t="s">
        <v>2883</v>
      </c>
      <c r="G498" s="8" t="s">
        <v>2884</v>
      </c>
      <c r="H498" s="13" t="s">
        <v>2885</v>
      </c>
      <c r="I498" s="8" t="s">
        <v>139</v>
      </c>
      <c r="J498" s="8" t="s">
        <v>85</v>
      </c>
      <c r="K498" s="8"/>
      <c r="L498" s="8"/>
      <c r="M498" s="8"/>
      <c r="N498" s="10"/>
      <c r="O498" s="11" t="str">
        <f aca="false">IF(N498="",IF(I498="Include","Include",J498),N498)</f>
        <v>EC6</v>
      </c>
      <c r="P498" s="11" t="s">
        <v>2886</v>
      </c>
    </row>
    <row r="499" customFormat="false" ht="23.85" hidden="false" customHeight="false" outlineLevel="0" collapsed="false">
      <c r="A499" s="8" t="s">
        <v>2887</v>
      </c>
      <c r="B499" s="8" t="s">
        <v>44</v>
      </c>
      <c r="C499" s="9" t="s">
        <v>2888</v>
      </c>
      <c r="D499" s="8" t="n">
        <v>2026</v>
      </c>
      <c r="E499" s="8" t="s">
        <v>143</v>
      </c>
      <c r="F499" s="8" t="s">
        <v>2889</v>
      </c>
      <c r="G499" s="8" t="s">
        <v>2890</v>
      </c>
      <c r="H499" s="13" t="s">
        <v>2891</v>
      </c>
      <c r="I499" s="8" t="s">
        <v>139</v>
      </c>
      <c r="J499" s="8" t="s">
        <v>85</v>
      </c>
      <c r="K499" s="8"/>
      <c r="L499" s="8"/>
      <c r="M499" s="8"/>
      <c r="N499" s="10"/>
      <c r="O499" s="11" t="str">
        <f aca="false">IF(N499="",IF(I499="Include","Include",J499),N499)</f>
        <v>EC6</v>
      </c>
      <c r="P499" s="11" t="s">
        <v>2892</v>
      </c>
    </row>
    <row r="500" customFormat="false" ht="35.05" hidden="false" customHeight="false" outlineLevel="0" collapsed="false">
      <c r="A500" s="8" t="s">
        <v>2893</v>
      </c>
      <c r="B500" s="8" t="s">
        <v>44</v>
      </c>
      <c r="C500" s="9" t="s">
        <v>2894</v>
      </c>
      <c r="D500" s="8" t="n">
        <v>2026</v>
      </c>
      <c r="E500" s="8" t="s">
        <v>171</v>
      </c>
      <c r="F500" s="8" t="s">
        <v>2895</v>
      </c>
      <c r="G500" s="8" t="s">
        <v>1799</v>
      </c>
      <c r="H500" s="13" t="s">
        <v>2896</v>
      </c>
      <c r="I500" s="8" t="s">
        <v>139</v>
      </c>
      <c r="J500" s="8" t="s">
        <v>85</v>
      </c>
      <c r="K500" s="8"/>
      <c r="L500" s="8"/>
      <c r="M500" s="8"/>
      <c r="N500" s="10"/>
      <c r="O500" s="11" t="str">
        <f aca="false">IF(N500="",IF(I500="Include","Include",J500),N500)</f>
        <v>EC6</v>
      </c>
      <c r="P500" s="11" t="s">
        <v>2897</v>
      </c>
    </row>
    <row r="501" customFormat="false" ht="23.85" hidden="false" customHeight="false" outlineLevel="0" collapsed="false">
      <c r="A501" s="8" t="s">
        <v>2898</v>
      </c>
      <c r="B501" s="8" t="s">
        <v>44</v>
      </c>
      <c r="C501" s="9" t="s">
        <v>2899</v>
      </c>
      <c r="D501" s="8" t="n">
        <v>2025</v>
      </c>
      <c r="E501" s="8" t="s">
        <v>171</v>
      </c>
      <c r="F501" s="8" t="s">
        <v>2900</v>
      </c>
      <c r="G501" s="8" t="s">
        <v>2901</v>
      </c>
      <c r="H501" s="13" t="s">
        <v>2902</v>
      </c>
      <c r="I501" s="8" t="s">
        <v>139</v>
      </c>
      <c r="J501" s="8" t="s">
        <v>85</v>
      </c>
      <c r="K501" s="8"/>
      <c r="L501" s="8"/>
      <c r="M501" s="8"/>
      <c r="N501" s="10"/>
      <c r="O501" s="11" t="str">
        <f aca="false">IF(N501="",IF(I501="Include","Include",J501),N501)</f>
        <v>EC6</v>
      </c>
      <c r="P501" s="11" t="s">
        <v>2903</v>
      </c>
    </row>
    <row r="502" customFormat="false" ht="23.85" hidden="false" customHeight="false" outlineLevel="0" collapsed="false">
      <c r="A502" s="11" t="s">
        <v>2904</v>
      </c>
      <c r="B502" s="11" t="s">
        <v>44</v>
      </c>
      <c r="C502" s="2" t="s">
        <v>2905</v>
      </c>
      <c r="D502" s="11" t="n">
        <v>2022</v>
      </c>
      <c r="E502" s="11" t="s">
        <v>171</v>
      </c>
      <c r="F502" s="11" t="s">
        <v>2906</v>
      </c>
      <c r="G502" s="11" t="s">
        <v>2907</v>
      </c>
      <c r="H502" s="12" t="s">
        <v>2908</v>
      </c>
      <c r="I502" s="11" t="s">
        <v>147</v>
      </c>
      <c r="J502" s="11"/>
      <c r="K502" s="11" t="s">
        <v>115</v>
      </c>
      <c r="L502" s="11" t="s">
        <v>118</v>
      </c>
      <c r="M502" s="11" t="s">
        <v>148</v>
      </c>
      <c r="N502" s="10"/>
      <c r="O502" s="11" t="str">
        <f aca="false">IF(N502="",IF(I502="Include","Include",J502),N502)</f>
        <v>Include</v>
      </c>
      <c r="P502" s="11" t="s">
        <v>2909</v>
      </c>
    </row>
    <row r="503" customFormat="false" ht="23.85" hidden="false" customHeight="false" outlineLevel="0" collapsed="false">
      <c r="A503" s="11" t="s">
        <v>2910</v>
      </c>
      <c r="B503" s="11" t="s">
        <v>44</v>
      </c>
      <c r="C503" s="2" t="s">
        <v>2911</v>
      </c>
      <c r="D503" s="11" t="n">
        <v>2025</v>
      </c>
      <c r="E503" s="11" t="s">
        <v>143</v>
      </c>
      <c r="F503" s="11" t="s">
        <v>2912</v>
      </c>
      <c r="G503" s="11" t="s">
        <v>1890</v>
      </c>
      <c r="H503" s="12" t="s">
        <v>2913</v>
      </c>
      <c r="I503" s="11" t="s">
        <v>147</v>
      </c>
      <c r="J503" s="11"/>
      <c r="K503" s="11" t="s">
        <v>115</v>
      </c>
      <c r="L503" s="11" t="s">
        <v>118</v>
      </c>
      <c r="M503" s="11" t="s">
        <v>148</v>
      </c>
      <c r="N503" s="10"/>
      <c r="O503" s="11" t="str">
        <f aca="false">IF(N503="",IF(I503="Include","Include",J503),N503)</f>
        <v>Include</v>
      </c>
      <c r="P503" s="11" t="s">
        <v>2914</v>
      </c>
    </row>
    <row r="504" customFormat="false" ht="23.85" hidden="false" customHeight="false" outlineLevel="0" collapsed="false">
      <c r="A504" s="8" t="s">
        <v>2915</v>
      </c>
      <c r="B504" s="8" t="s">
        <v>44</v>
      </c>
      <c r="C504" s="9" t="s">
        <v>2916</v>
      </c>
      <c r="D504" s="8" t="n">
        <v>2026</v>
      </c>
      <c r="E504" s="8" t="s">
        <v>143</v>
      </c>
      <c r="F504" s="8" t="s">
        <v>2917</v>
      </c>
      <c r="G504" s="8" t="s">
        <v>2918</v>
      </c>
      <c r="H504" s="13" t="s">
        <v>2919</v>
      </c>
      <c r="I504" s="8" t="s">
        <v>139</v>
      </c>
      <c r="J504" s="8" t="s">
        <v>85</v>
      </c>
      <c r="K504" s="8"/>
      <c r="L504" s="8"/>
      <c r="M504" s="8"/>
      <c r="N504" s="10"/>
      <c r="O504" s="11" t="str">
        <f aca="false">IF(N504="",IF(I504="Include","Include",J504),N504)</f>
        <v>EC6</v>
      </c>
      <c r="P504" s="11" t="s">
        <v>2920</v>
      </c>
    </row>
    <row r="505" customFormat="false" ht="23.85" hidden="false" customHeight="false" outlineLevel="0" collapsed="false">
      <c r="A505" s="11" t="s">
        <v>2921</v>
      </c>
      <c r="B505" s="11" t="s">
        <v>44</v>
      </c>
      <c r="C505" s="2" t="s">
        <v>2922</v>
      </c>
      <c r="D505" s="11" t="n">
        <v>2025</v>
      </c>
      <c r="E505" s="11" t="s">
        <v>143</v>
      </c>
      <c r="F505" s="11" t="s">
        <v>2923</v>
      </c>
      <c r="G505" s="11" t="s">
        <v>2924</v>
      </c>
      <c r="H505" s="12" t="s">
        <v>2925</v>
      </c>
      <c r="I505" s="11" t="s">
        <v>147</v>
      </c>
      <c r="J505" s="11"/>
      <c r="K505" s="11" t="s">
        <v>115</v>
      </c>
      <c r="L505" s="11" t="s">
        <v>118</v>
      </c>
      <c r="M505" s="11" t="s">
        <v>148</v>
      </c>
      <c r="N505" s="10"/>
      <c r="O505" s="11" t="str">
        <f aca="false">IF(N505="",IF(I505="Include","Include",J505),N505)</f>
        <v>Include</v>
      </c>
      <c r="P505" s="11" t="s">
        <v>2926</v>
      </c>
    </row>
    <row r="506" customFormat="false" ht="23.85" hidden="false" customHeight="false" outlineLevel="0" collapsed="false">
      <c r="A506" s="8" t="s">
        <v>2927</v>
      </c>
      <c r="B506" s="8" t="s">
        <v>44</v>
      </c>
      <c r="C506" s="9" t="s">
        <v>2928</v>
      </c>
      <c r="D506" s="8" t="n">
        <v>2026</v>
      </c>
      <c r="E506" s="8" t="s">
        <v>171</v>
      </c>
      <c r="F506" s="8" t="s">
        <v>2929</v>
      </c>
      <c r="G506" s="8" t="s">
        <v>387</v>
      </c>
      <c r="H506" s="13" t="s">
        <v>2930</v>
      </c>
      <c r="I506" s="8" t="s">
        <v>139</v>
      </c>
      <c r="J506" s="8" t="s">
        <v>75</v>
      </c>
      <c r="K506" s="8"/>
      <c r="L506" s="8"/>
      <c r="M506" s="8"/>
      <c r="N506" s="10"/>
      <c r="O506" s="11" t="str">
        <f aca="false">IF(N506="",IF(I506="Include","Include",J506),N506)</f>
        <v>EC1</v>
      </c>
      <c r="P506" s="11" t="s">
        <v>2931</v>
      </c>
    </row>
    <row r="507" customFormat="false" ht="23.85" hidden="false" customHeight="false" outlineLevel="0" collapsed="false">
      <c r="A507" s="11" t="s">
        <v>2932</v>
      </c>
      <c r="B507" s="11" t="s">
        <v>44</v>
      </c>
      <c r="C507" s="2" t="s">
        <v>2933</v>
      </c>
      <c r="D507" s="11" t="n">
        <v>2026</v>
      </c>
      <c r="E507" s="11" t="s">
        <v>143</v>
      </c>
      <c r="F507" s="11" t="s">
        <v>2934</v>
      </c>
      <c r="G507" s="11" t="s">
        <v>2935</v>
      </c>
      <c r="H507" s="12" t="s">
        <v>2936</v>
      </c>
      <c r="I507" s="11" t="s">
        <v>147</v>
      </c>
      <c r="J507" s="11"/>
      <c r="K507" s="11" t="s">
        <v>115</v>
      </c>
      <c r="L507" s="11" t="s">
        <v>120</v>
      </c>
      <c r="M507" s="11" t="s">
        <v>148</v>
      </c>
      <c r="N507" s="10"/>
      <c r="O507" s="11" t="str">
        <f aca="false">IF(N507="",IF(I507="Include","Include",J507),N507)</f>
        <v>Include</v>
      </c>
      <c r="P507" s="11" t="s">
        <v>2937</v>
      </c>
    </row>
    <row r="508" customFormat="false" ht="23.85" hidden="false" customHeight="false" outlineLevel="0" collapsed="false">
      <c r="A508" s="8" t="s">
        <v>2938</v>
      </c>
      <c r="B508" s="8" t="s">
        <v>44</v>
      </c>
      <c r="C508" s="9" t="s">
        <v>2939</v>
      </c>
      <c r="D508" s="8" t="n">
        <v>2026</v>
      </c>
      <c r="E508" s="8" t="s">
        <v>171</v>
      </c>
      <c r="F508" s="8" t="s">
        <v>2940</v>
      </c>
      <c r="G508" s="8" t="s">
        <v>2941</v>
      </c>
      <c r="H508" s="13" t="s">
        <v>2942</v>
      </c>
      <c r="I508" s="8" t="s">
        <v>139</v>
      </c>
      <c r="J508" s="8" t="s">
        <v>85</v>
      </c>
      <c r="K508" s="8"/>
      <c r="L508" s="8"/>
      <c r="M508" s="8"/>
      <c r="N508" s="10"/>
      <c r="O508" s="11" t="str">
        <f aca="false">IF(N508="",IF(I508="Include","Include",J508),N508)</f>
        <v>EC6</v>
      </c>
      <c r="P508" s="11" t="s">
        <v>2943</v>
      </c>
    </row>
    <row r="509" customFormat="false" ht="23.85" hidden="false" customHeight="false" outlineLevel="0" collapsed="false">
      <c r="A509" s="11" t="s">
        <v>2944</v>
      </c>
      <c r="B509" s="11" t="s">
        <v>44</v>
      </c>
      <c r="C509" s="2" t="s">
        <v>2945</v>
      </c>
      <c r="D509" s="11" t="n">
        <v>2026</v>
      </c>
      <c r="E509" s="11" t="s">
        <v>143</v>
      </c>
      <c r="F509" s="11" t="s">
        <v>2946</v>
      </c>
      <c r="G509" s="11" t="s">
        <v>629</v>
      </c>
      <c r="H509" s="11"/>
      <c r="I509" s="11" t="s">
        <v>147</v>
      </c>
      <c r="J509" s="11"/>
      <c r="K509" s="11" t="s">
        <v>115</v>
      </c>
      <c r="L509" s="11" t="s">
        <v>118</v>
      </c>
      <c r="M509" s="11" t="s">
        <v>161</v>
      </c>
      <c r="N509" s="10"/>
      <c r="O509" s="11" t="str">
        <f aca="false">IF(N509="",IF(I509="Include","Include",J509),N509)</f>
        <v>Include</v>
      </c>
      <c r="P509" s="11" t="s">
        <v>2947</v>
      </c>
    </row>
    <row r="510" customFormat="false" ht="23.85" hidden="false" customHeight="false" outlineLevel="0" collapsed="false">
      <c r="A510" s="11" t="s">
        <v>2948</v>
      </c>
      <c r="B510" s="11" t="s">
        <v>44</v>
      </c>
      <c r="C510" s="2" t="s">
        <v>2949</v>
      </c>
      <c r="D510" s="11" t="n">
        <v>2025</v>
      </c>
      <c r="E510" s="11" t="s">
        <v>143</v>
      </c>
      <c r="F510" s="11" t="s">
        <v>2950</v>
      </c>
      <c r="G510" s="11" t="s">
        <v>2951</v>
      </c>
      <c r="H510" s="12" t="s">
        <v>2952</v>
      </c>
      <c r="I510" s="11" t="s">
        <v>147</v>
      </c>
      <c r="J510" s="11"/>
      <c r="K510" s="11" t="s">
        <v>115</v>
      </c>
      <c r="L510" s="11" t="s">
        <v>118</v>
      </c>
      <c r="M510" s="11" t="s">
        <v>148</v>
      </c>
      <c r="N510" s="10"/>
      <c r="O510" s="11" t="str">
        <f aca="false">IF(N510="",IF(I510="Include","Include",J510),N510)</f>
        <v>Include</v>
      </c>
      <c r="P510" s="11" t="s">
        <v>2953</v>
      </c>
    </row>
  </sheetData>
  <autoFilter ref="A1:P510"/>
  <dataValidations count="1">
    <dataValidation allowBlank="true" errorStyle="stop" operator="between" showDropDown="false" showErrorMessage="false" showInputMessage="false" sqref="N2:N510" type="list">
      <formula1>"Include,EC1,EC2,EC3,EC4,EC5,EC6,EC7,EC8"</formula1>
      <formula2>0</formula2>
    </dataValidation>
  </dataValidations>
  <hyperlinks>
    <hyperlink ref="H3" r:id="rId1" display="10.1109/wd.2019.8734228"/>
    <hyperlink ref="H4" r:id="rId2" display="10.1117/12.2588317"/>
    <hyperlink ref="H5" r:id="rId3" display="10.1109/icngcs64900.2025.11183332"/>
    <hyperlink ref="H6" r:id="rId4" display="10.1109/icitee59582.2023.10317648"/>
    <hyperlink ref="H7" r:id="rId5" display="10.15837/ijccc.2025.3.6501"/>
    <hyperlink ref="H8" r:id="rId6" display="10.1109/milcom52596.2021.9653022"/>
    <hyperlink ref="H9" r:id="rId7" display="10.1109/ieeeconf68869.2026.11460393"/>
    <hyperlink ref="H10" r:id="rId8" display="10.1109/wcnc61545.2025.10978775"/>
    <hyperlink ref="H11" r:id="rId9" display="10.1109/rast69551.2026.11672553"/>
    <hyperlink ref="H12" r:id="rId10" display="10.23919/icact48636.2020.9061519"/>
    <hyperlink ref="H13" r:id="rId11" display="10.3390/fi15110366"/>
    <hyperlink ref="H14" r:id="rId12" display="10.1109/icit45562.2020.9067213"/>
    <hyperlink ref="H16" r:id="rId13" display="10.14569/ijacsa.2026.0170436"/>
    <hyperlink ref="H17" r:id="rId14" display="10.1109/icicacs68679.2026.11578885"/>
    <hyperlink ref="H18" r:id="rId15" display="10.1016/j.iot.2026.101878"/>
    <hyperlink ref="H19" r:id="rId16" display="10.1016/j.comcom.2025.108404"/>
    <hyperlink ref="H20" r:id="rId17" display="10.1109/mwent55238.2022.9802378"/>
    <hyperlink ref="H21" r:id="rId18" display="10.1109/icabcd54961.2022.9856116"/>
    <hyperlink ref="H24" r:id="rId19" display="10.1016/j.csi.2023.103733"/>
    <hyperlink ref="H25" r:id="rId20" display="10.1007/978-3-030-66471-8_13"/>
    <hyperlink ref="H26" r:id="rId21" display="10.1109/isriti48646.2019.9034662"/>
    <hyperlink ref="H27" r:id="rId22" display="10.11591/ijeecs.v34.i2.pp960-969"/>
    <hyperlink ref="H28" r:id="rId23" display="10.1109/apwcs61586.2024.10679304"/>
    <hyperlink ref="H29" r:id="rId24" display="10.1109/icwt58823.2023.10335410"/>
    <hyperlink ref="H30" r:id="rId25" display="10.1109/infocomwkshps54753.2022.9798302"/>
    <hyperlink ref="H32" r:id="rId26" display="10.1007/978-3-030-61746-2_17"/>
    <hyperlink ref="H33" r:id="rId27" display="10.1109/icima68728.2026.11564606"/>
    <hyperlink ref="H34" r:id="rId28" display="10.1109/synchroinfo65403.2025.11079364"/>
    <hyperlink ref="H35" r:id="rId29" display="10.1109/access.2024.3494038"/>
    <hyperlink ref="H36" r:id="rId30" display="10.1504/ijict.2026.152287"/>
    <hyperlink ref="H37" r:id="rId31" display="10.1109/ict4da56482.2022.9971324"/>
    <hyperlink ref="H38" r:id="rId32" display="10.1109/sceecs61402.2024.10481946"/>
    <hyperlink ref="H39" r:id="rId33" display="10.1109/smc58881.2025.11343277"/>
    <hyperlink ref="H40" r:id="rId34" display="10.1016/j.softx.2026.102570"/>
    <hyperlink ref="H41" r:id="rId35" display="10.1109/wcnc55385.2023.10118770"/>
    <hyperlink ref="H42" r:id="rId36" display="10.1109/icssas64001.2024.10760890"/>
    <hyperlink ref="H43" r:id="rId37" display="10.1109/access.2019.2898239"/>
    <hyperlink ref="H44" r:id="rId38" display="10.1016/j.iotcps.2025.05.001"/>
    <hyperlink ref="H45" r:id="rId39" display="10.3390/s26123701"/>
    <hyperlink ref="H46" r:id="rId40" display="10.1109/meditcom67211.2026.11641097"/>
    <hyperlink ref="H47" r:id="rId41" display="10.1109/gcce65946.2025.11275080"/>
    <hyperlink ref="H48" r:id="rId42" display="10.1109/wf-iot64238.2025.11270542"/>
    <hyperlink ref="H49" r:id="rId43" display="10.3390/en15197382"/>
    <hyperlink ref="H50" r:id="rId44" display="10.1109/wimob.2017.8115756"/>
    <hyperlink ref="H51" r:id="rId45" display="10.1109/aicare66005.2025.11402816"/>
    <hyperlink ref="H52" r:id="rId46" display="10.1109/icramet67419.2025.11350147"/>
    <hyperlink ref="H53" r:id="rId47" display="10.1109/ccoms.2019.8821683"/>
    <hyperlink ref="H54" r:id="rId48" display="10.1109/icoin63865.2025.10992870"/>
    <hyperlink ref="H55" r:id="rId49" display="10.1109/codec60112.2023.10466170"/>
    <hyperlink ref="H56" r:id="rId50" display="10.1109/icii.2019.00043"/>
    <hyperlink ref="H57" r:id="rId51" display="10.1109/jiot.2026.3732880"/>
    <hyperlink ref="H58" r:id="rId52" display="10.1109/ict-dm58371.2023.10286960"/>
    <hyperlink ref="H59" r:id="rId53" display="10.3390/electronics14214135"/>
    <hyperlink ref="H61" r:id="rId54" display="10.1007/978-981-92-3681-7_12"/>
    <hyperlink ref="H62" r:id="rId55" display="10.1109/iicaiet67254.2025.11265326"/>
    <hyperlink ref="H63" r:id="rId56" display="10.3390/s22239332"/>
    <hyperlink ref="H64" r:id="rId57" display="10.3390/s26185839"/>
    <hyperlink ref="H65" r:id="rId58" display="10.3390/s22062253"/>
    <hyperlink ref="H66" r:id="rId59" display="10.1109/blackseacom69760.2026.11598298"/>
    <hyperlink ref="H67" r:id="rId60" display="10.1016/j.procs.2018.04.063"/>
    <hyperlink ref="H68" r:id="rId61" display="10.1007/s43995-025-00280-4"/>
    <hyperlink ref="H69" r:id="rId62" display="10.1109/icaiic64266.2025.10920859"/>
    <hyperlink ref="H70" r:id="rId63" display="10.3390/electronics12204225"/>
    <hyperlink ref="H71" r:id="rId64" display="10.3390/electronics11132078"/>
    <hyperlink ref="H72" r:id="rId65" display="10.1109/icc51166.2024.10622330"/>
    <hyperlink ref="H73" r:id="rId66" display="10.1109/naecon65708.2025.11235480"/>
    <hyperlink ref="H74" r:id="rId67" display="10.1109/iccit68739.2025.11491671"/>
    <hyperlink ref="H75" r:id="rId68" display="10.1016/j.adhoc.2025.104123"/>
    <hyperlink ref="H76" r:id="rId69" display="10.1016/j.iot.2021.100379"/>
    <hyperlink ref="H77" r:id="rId70" display="10.1109/iccci49374.2020.9145992"/>
    <hyperlink ref="H79" r:id="rId71" display="10.1109/ei250167.2020.9347316"/>
    <hyperlink ref="H80" r:id="rId72" display="10.1109/icit.2019.8755136"/>
    <hyperlink ref="H81" r:id="rId73" display="10.3390/computers10080093"/>
    <hyperlink ref="H82" r:id="rId74" display="10.1109/icicacs60521.2024.10498522"/>
    <hyperlink ref="H83" r:id="rId75" display="10.1109/iciem54221.2022.9853130"/>
    <hyperlink ref="H84" r:id="rId76" display="10.1109/icccn69946.2026.11662683"/>
    <hyperlink ref="H85" r:id="rId77" display="10.3390/s24185960"/>
    <hyperlink ref="H86" r:id="rId78" display="10.1109/apwcs61586.2024.10679328"/>
    <hyperlink ref="H88" r:id="rId79" display="10.1109/sas51076.2021.9530117"/>
    <hyperlink ref="H89" r:id="rId80" display="10.1145/3638241"/>
    <hyperlink ref="H90" r:id="rId81" display="10.1109/wowmom.2018.8449743"/>
    <hyperlink ref="H91" r:id="rId82" display="10.1109/ciscon66933.2025.11337728"/>
    <hyperlink ref="H92" r:id="rId83" display="10.1109/roboticcc68732.2025.00020"/>
    <hyperlink ref="H93" r:id="rId84" display="10.48009/3_iis_2022_124"/>
    <hyperlink ref="H94" r:id="rId85" display="10.1063/5.0082116"/>
    <hyperlink ref="H95" r:id="rId86" display="10.3390/electronics12132952"/>
    <hyperlink ref="H96" r:id="rId87" display="10.1109/jiot.2024.3350634"/>
    <hyperlink ref="H97" r:id="rId88" display="10.3390/fi11040099"/>
    <hyperlink ref="H98" r:id="rId89" display="10.1109/mcom.001.2000053"/>
    <hyperlink ref="H99" r:id="rId90" display="10.1109/icinvents64613.2025.11401504"/>
    <hyperlink ref="H100" r:id="rId91" display="10.1109/icecie66637.2025.11363862"/>
    <hyperlink ref="H101" r:id="rId92" display="10.1145/3491222"/>
    <hyperlink ref="H102" r:id="rId93" display="10.1007/978-3-030-65726-0_23"/>
    <hyperlink ref="H104" r:id="rId94" display="10.1109/itnac62915.2024.10815328"/>
    <hyperlink ref="H105" r:id="rId95" display="10.3390/fi18080389"/>
    <hyperlink ref="H106" r:id="rId96" display="10.1109/ict70370.2026.11594783"/>
    <hyperlink ref="H107" r:id="rId97" display="10.1109/itnac62915.2024.10815393"/>
    <hyperlink ref="H108" r:id="rId98" display="10.1109/jsen.2025.3547910"/>
    <hyperlink ref="H109" r:id="rId99" display="10.1109/iscv60512.2024.10620087"/>
    <hyperlink ref="H110" r:id="rId100" display="10.1016/j.future.2026.108368"/>
    <hyperlink ref="H111" r:id="rId101" display="10.1109/tvt.2025.3563236"/>
    <hyperlink ref="H112" r:id="rId102" display="10.3390/s26072226"/>
    <hyperlink ref="H113" r:id="rId103" display="10.1002/9781394311767.ch26"/>
    <hyperlink ref="H114" r:id="rId104" display="10.3390/electronics13193957"/>
    <hyperlink ref="H115" r:id="rId105" display="10.1109/ojcoms.2024.3350511"/>
    <hyperlink ref="H116" r:id="rId106" display="10.1109/ei268505.2025.11425276"/>
    <hyperlink ref="H117" r:id="rId107" display="10.1109/jsen.2020.2983765"/>
    <hyperlink ref="H118" r:id="rId108" display="10.1109/ghtc46280.2020.9342944"/>
    <hyperlink ref="H119" r:id="rId109" display="10.23919/icact53585.2022.9728830"/>
    <hyperlink ref="H120" r:id="rId110" display="10.1109/lcn58197.2023.10223398"/>
    <hyperlink ref="H121" r:id="rId111" display="10.1109/jiot.2024.3379863"/>
    <hyperlink ref="H122" r:id="rId112" display="10.1109/elticom61905.2023.10443135"/>
    <hyperlink ref="H123" r:id="rId113" display="10.1109/icoicc64033.2025.11052083"/>
    <hyperlink ref="H124" r:id="rId114" display="10.1109/icitisee57756.2022.10057806"/>
    <hyperlink ref="H125" r:id="rId115" display="10.1109/icufn55119.2022.9829696"/>
    <hyperlink ref="H126" r:id="rId116" display="10.1007/s12652-019-01207-3"/>
    <hyperlink ref="H127" r:id="rId117" display="10.1109/ieacon64690.2025.11254006"/>
    <hyperlink ref="H128" r:id="rId118" display="10.1109/access.2024.3383778"/>
    <hyperlink ref="H129" r:id="rId119" display="10.1109/itnac62915.2024.10815298"/>
    <hyperlink ref="H130" r:id="rId120" display="10.1109/isci57775.2022.00011"/>
    <hyperlink ref="H131" r:id="rId121" display="10.1109/acroset62108.2024.10743798"/>
    <hyperlink ref="H132" r:id="rId122" display="10.1007/978-3-030-16042-5_3"/>
    <hyperlink ref="H133" r:id="rId123" display="10.1145/3243046.3243048"/>
    <hyperlink ref="H134" r:id="rId124" display="10.1016/j.adhoc.2024.103729"/>
    <hyperlink ref="H135" r:id="rId125" display="10.1109/access.2019.2913985"/>
    <hyperlink ref="H136" r:id="rId126" display="10.1109/globecom52923.2024.10901589"/>
    <hyperlink ref="H137" r:id="rId127" display="10.1109/icramet62801.2024.10809301"/>
    <hyperlink ref="H138" r:id="rId128" display="10.3390/s23083874"/>
    <hyperlink ref="H139" r:id="rId129" display="10.1109/access.2017.2755858"/>
    <hyperlink ref="H140" r:id="rId130" display="10.1109/jiot.2023.3263630"/>
    <hyperlink ref="H141" r:id="rId131" display="10.1109/access.2022.3217215"/>
    <hyperlink ref="H143" r:id="rId132" display="10.2174/2210327913666230217150456"/>
    <hyperlink ref="H144" r:id="rId133" display="10.1109/lnet.2020.3003161"/>
    <hyperlink ref="H145" r:id="rId134" display="10.1109/dcoss-iot58021.2023.00070"/>
    <hyperlink ref="H146" r:id="rId135" display="10.1109/scse65633.2025.11031068"/>
    <hyperlink ref="H147" r:id="rId136" display="10.13382/j.jemi.b2508460"/>
    <hyperlink ref="H148" r:id="rId137" display="10.1109/iciccs67901.2026.11502757"/>
    <hyperlink ref="H149" r:id="rId138" display="10.1007/978-3-030-37161-6_55"/>
    <hyperlink ref="H150" r:id="rId139" display="10.1109/acpee56931.2023.10135768"/>
    <hyperlink ref="H151" r:id="rId140" display="10.1109/sips66314.2025.11261304"/>
    <hyperlink ref="H152" r:id="rId141" display="10.3390/electronics15091872"/>
    <hyperlink ref="H153" r:id="rId142" display="10.1109/ecai69016.2026.11613664"/>
    <hyperlink ref="H154" r:id="rId143" display="10.1109/globecom38437.2019.9013315"/>
    <hyperlink ref="H155" r:id="rId144" display="10.1016/j.compag.2024.109592"/>
    <hyperlink ref="H156" r:id="rId145" display="10.1109/worlds450073.2020.9210343"/>
    <hyperlink ref="H157" r:id="rId146" display="10.1109/imcet69180.2026.11503782"/>
    <hyperlink ref="H159" r:id="rId147" display="10.3390/s25196036"/>
    <hyperlink ref="H160" r:id="rId148" display="10.1109/icccmla66092.2025.11581260"/>
    <hyperlink ref="H161" r:id="rId149" display="10.1109/mosicom67153.2025.11398157"/>
    <hyperlink ref="H163" r:id="rId150" display="10.1109/tii.2025.3642036"/>
    <hyperlink ref="H164" r:id="rId151" display="10.1109/access.2024.3443605"/>
    <hyperlink ref="H165" r:id="rId152" display="10.1145/3653644.3669720"/>
    <hyperlink ref="H166" r:id="rId153" display="10.23919/icn.2021.0001"/>
    <hyperlink ref="H167" r:id="rId154" display="10.1109/access.2021.3135080"/>
    <hyperlink ref="H168" r:id="rId155" display="10.1109/icoin48656.2020.9016483"/>
    <hyperlink ref="H169" r:id="rId156" display="10.1109/eucnc/6gsummit63408.2025.11037043"/>
    <hyperlink ref="H170" r:id="rId157" display="10.1109/jiot.2021.3095494"/>
    <hyperlink ref="H171" r:id="rId158" display="10.1109/sennano64909.2025.11473122"/>
    <hyperlink ref="H172" r:id="rId159" display="10.1080/02564602.2026.2699799"/>
    <hyperlink ref="H173" r:id="rId160" display="10.1109/icsenst.2018.8603641"/>
    <hyperlink ref="H174" r:id="rId161" display="10.1109/dcoss54816.2022.00014"/>
    <hyperlink ref="H175" r:id="rId162" display="10.1504/ijsnet.2024.142707"/>
    <hyperlink ref="H176" r:id="rId163" display="10.1109/jiot.2023.3281941"/>
    <hyperlink ref="H177" r:id="rId164" display="10.1109/wowmom57956.2023.00065"/>
    <hyperlink ref="H178" r:id="rId165" display="10.1109/icect61618.2024.10581068"/>
    <hyperlink ref="H179" r:id="rId166" display="10.3390/s26041112"/>
    <hyperlink ref="H180" r:id="rId167" display="10.1016/j.future.2022.05.028"/>
    <hyperlink ref="H181" r:id="rId168" display="10.1049/el.2020.0575"/>
    <hyperlink ref="H182" r:id="rId169" display="10.1109/secon64284.2024.10934864"/>
    <hyperlink ref="H183" r:id="rId170" display="10.1016/j.adhoc.2019.101993"/>
    <hyperlink ref="H184" r:id="rId171" display="10.1109/icct-pacific69083.2026.11518713"/>
    <hyperlink ref="H185" r:id="rId172" display="10.1109/iceamst67459.2025.11335642"/>
    <hyperlink ref="H186" r:id="rId173" display="10.3390/s23083795"/>
    <hyperlink ref="H187" r:id="rId174" display="10.1109/icaace69793.2026.11508939"/>
    <hyperlink ref="H188" r:id="rId175" display="10.1016/j.ssaho.2026.103296"/>
    <hyperlink ref="H189" r:id="rId176" display="10.1109/smartnets69662.2026.11604642"/>
    <hyperlink ref="H190" r:id="rId177" display="10.1145/3747295"/>
    <hyperlink ref="H191" r:id="rId178" display="10.1109/tgcn.2026.3715648"/>
    <hyperlink ref="H192" r:id="rId179" display="10.1109/bmsb58369.2023.10211537"/>
    <hyperlink ref="H193" r:id="rId180" display="10.1007/978-3-031-29056-5_8"/>
    <hyperlink ref="H194" r:id="rId181" display="10.3390/iot7030079"/>
    <hyperlink ref="H195" r:id="rId182" display="10.1109/ccnc.2018.8319183"/>
    <hyperlink ref="H196" r:id="rId183" display="10.1007/978-3-032-19981-2_9"/>
    <hyperlink ref="H197" r:id="rId184" display="10.1049/cmu2.70221"/>
    <hyperlink ref="H199" r:id="rId185" display="10.1140/epjp/s13360-026-07808-0"/>
    <hyperlink ref="H200" r:id="rId186" display="10.1109/access.2025.3603021"/>
    <hyperlink ref="H201" r:id="rId187" display="10.1016/j.comcom.2021.11.010"/>
    <hyperlink ref="H202" r:id="rId188" display="10.1109/iemcon51383.2020.9284888"/>
    <hyperlink ref="H203" r:id="rId189" display="10.1145/3636534.3690659"/>
    <hyperlink ref="H204" r:id="rId190" display="10.1145/3297280.3297655"/>
    <hyperlink ref="H205" r:id="rId191" display="10.1109/access.2023.3278687"/>
    <hyperlink ref="H206" r:id="rId192" display="10.1109/iscaie61308.2024.10576269"/>
    <hyperlink ref="H207" r:id="rId193" display="10.1109/icdcs54860.2022.00150"/>
    <hyperlink ref="H208" r:id="rId194" display="10.3390/sym12040552"/>
    <hyperlink ref="H209" r:id="rId195" display="10.1109/glocom.2018.8647177"/>
    <hyperlink ref="H210" r:id="rId196" display="10.1109/access.2026.3714528"/>
    <hyperlink ref="H211" r:id="rId197" display="10.1109/jiot.2022.3185619"/>
    <hyperlink ref="H212" r:id="rId198" display="10.1109/qpain66474.2025.11171856"/>
    <hyperlink ref="H213" r:id="rId199" display="10.1109/metroind4.0iot48571.2020.9138206"/>
    <hyperlink ref="H214" r:id="rId200" display="10.3389/feart.2019.00137"/>
    <hyperlink ref="H215" r:id="rId201" display="10.1049/gtd2.70105"/>
    <hyperlink ref="H216" r:id="rId202" display="10.1145/3616901.3616917"/>
    <hyperlink ref="H219" r:id="rId203" display="10.1007/978-3-032-20544-5_28"/>
    <hyperlink ref="H220" r:id="rId204" display="10.1007/978-3-032-18138-1_6"/>
    <hyperlink ref="H221" r:id="rId205" display="10.1016/b978-0-12-820581-5.00013-4"/>
    <hyperlink ref="H223" r:id="rId206" display="10.1109/sensys-adjunct71932.2026.00061"/>
    <hyperlink ref="H226" r:id="rId207" display="10.1109/icoei68323.2026.11542113"/>
    <hyperlink ref="H227" r:id="rId208" display="10.1145/3716554.3716610"/>
    <hyperlink ref="H228" r:id="rId209" display="10.1109/ismsit50672.2020.9255054"/>
    <hyperlink ref="H229" r:id="rId210" display="10.1109/jsen.2024.3403308"/>
    <hyperlink ref="H230" r:id="rId211" display="10.1109/icnas53565.2021.9628947"/>
    <hyperlink ref="H231" r:id="rId212" display="10.3390/s25020496"/>
    <hyperlink ref="H232" r:id="rId213" display="10.3390/electronics15184283"/>
    <hyperlink ref="H233" r:id="rId214" display="10.1016/j.neucom.2026.133756"/>
    <hyperlink ref="H235" r:id="rId215" display="10.1016/j.advengsoft.2022.103247"/>
    <hyperlink ref="H236" r:id="rId216" display="10.1109/icears67481.2026.11416606"/>
    <hyperlink ref="H237" r:id="rId217" display="10.1007/978-981-16-8546-0_3"/>
    <hyperlink ref="H238" r:id="rId218" display="10.1109/iccais48893.2020.9096824"/>
    <hyperlink ref="H239" r:id="rId219" display="10.3390/s21041179"/>
    <hyperlink ref="H240" r:id="rId220" display="10.1109/cloudtech58737.2023.10366151"/>
    <hyperlink ref="H241" r:id="rId221" display="10.3390/electronics13061055"/>
    <hyperlink ref="H242" r:id="rId222" display="10.1007/978-3-031-16364-7_5"/>
    <hyperlink ref="H243" r:id="rId223" display="10.1109/icmnwc66779.2025.11354222"/>
    <hyperlink ref="H246" r:id="rId224" display="10.1109/jiot.2026.3675915"/>
    <hyperlink ref="H249" r:id="rId225" display="10.1109/icsccc69031.2026.11600121"/>
    <hyperlink ref="H250" r:id="rId226" display="10.1109/jiot.2026.3712402"/>
    <hyperlink ref="H251" r:id="rId227" display="10.3390/agriengineering8030093"/>
    <hyperlink ref="H252" r:id="rId228" display="10.3390/drones5020026"/>
    <hyperlink ref="H254" r:id="rId229" display="10.1109/jiot.2025.3649316"/>
    <hyperlink ref="H255" r:id="rId230" display="10.1109/tdsc.2025.3611414"/>
    <hyperlink ref="H256" r:id="rId231" display="10.1007/978-981-97-1432-2_1"/>
    <hyperlink ref="H257" r:id="rId232" display="10.3390/computers11050081"/>
    <hyperlink ref="H259" r:id="rId233" display="10.1007/s12083-026-02251-5"/>
    <hyperlink ref="H260" r:id="rId234" display="10.1007/978-981-95-6209-1_19"/>
    <hyperlink ref="H262" r:id="rId235" display="10.3390/s25237128"/>
    <hyperlink ref="H263" r:id="rId236" display="10.1109/ipsn48710.2020.00031"/>
    <hyperlink ref="H264" r:id="rId237" display="10.1109/ichveps66913.2025.11351177"/>
    <hyperlink ref="H266" r:id="rId238" display="10.1109/access.2025.3594875"/>
    <hyperlink ref="H267" r:id="rId239" display="10.1007/978-981-97-8348-9_8"/>
    <hyperlink ref="H268" r:id="rId240" display="10.1109/icabcd.2019.8851043"/>
    <hyperlink ref="H270" r:id="rId241" display="10.1007/978-3-030-15032-7_91"/>
    <hyperlink ref="H271" r:id="rId242" display="10.1109/apsipaasc65261.2025.11249190"/>
    <hyperlink ref="H272" r:id="rId243" display="10.1109/icpcsn68523.2026.11543532"/>
    <hyperlink ref="H274" r:id="rId244" display="10.1145/3549206.3549312"/>
    <hyperlink ref="H275" r:id="rId245" display="10.1109/infocomwkshps51825.2021.9484615"/>
    <hyperlink ref="H276" r:id="rId246" display="10.1155/2019/1986325"/>
    <hyperlink ref="H277" r:id="rId247" display="10.3390/computers14120531"/>
    <hyperlink ref="H279" r:id="rId248" display="10.1007/s00607-025-01519-7"/>
    <hyperlink ref="H280" r:id="rId249" display="10.53799/ajse.v23i2.1055"/>
    <hyperlink ref="H281" r:id="rId250" display="10.1109/icnc64010.2025.10993702"/>
    <hyperlink ref="H282" r:id="rId251" display="10.1109/iconstem65670.2025.11374609"/>
    <hyperlink ref="H283" r:id="rId252" display="10.1109/uemcon59035.2023.10316084"/>
    <hyperlink ref="H284" r:id="rId253" display="10.1109/cist49399.2021.9357283"/>
    <hyperlink ref="H285" r:id="rId254" display="10.1109/iccmc69250.2026.11624823"/>
    <hyperlink ref="H286" r:id="rId255" display="10.1109/iscipt61983.2024.10673138"/>
    <hyperlink ref="H287" r:id="rId256" display="10.1109/icicds70526.2026.11604835"/>
    <hyperlink ref="H288" r:id="rId257" display="10.1109/comsnets59351.2024.10427321"/>
    <hyperlink ref="H289" r:id="rId258" display="10.1109/asms/spsc64465.2025.10946025"/>
    <hyperlink ref="H290" r:id="rId259" display="10.1109/iccsn57992.2023.10297398"/>
    <hyperlink ref="H292" r:id="rId260" display="10.1109/wetice67341.2025.11092217"/>
    <hyperlink ref="H293" r:id="rId261" display="10.1109/ai-si66213.2025.11341516"/>
    <hyperlink ref="H295" r:id="rId262" display="10.1109/icoeca66273.2025.00031"/>
    <hyperlink ref="H296" r:id="rId263" display="10.1007/s13177-024-00409-0"/>
    <hyperlink ref="H298" r:id="rId264" display="10.1109/itnac46935.2019.9077977"/>
    <hyperlink ref="H299" r:id="rId265" display="10.1145/3819836.3819848"/>
    <hyperlink ref="H300" r:id="rId266" display="10.1007/s40030-025-00912-x"/>
    <hyperlink ref="H302" r:id="rId267" display="10.1109/gcwot53057.2022.9772903"/>
    <hyperlink ref="H303" r:id="rId268" display="10.1016/j.jisa.2026.104596"/>
    <hyperlink ref="H304" r:id="rId269" display="10.1145/3719027.3765571"/>
    <hyperlink ref="H305" r:id="rId270" display="10.3390/fi18060306"/>
    <hyperlink ref="H306" r:id="rId271" display="10.1109/eee-am66675.2025.11473825"/>
    <hyperlink ref="H307" r:id="rId272" display="10.1186/s42400-026-00621-3"/>
    <hyperlink ref="H308" r:id="rId273" display="10.1109/blackseacom69760.2026.11598536"/>
    <hyperlink ref="H309" r:id="rId274" display="10.1016/j.adhoc.2026.104370"/>
    <hyperlink ref="H310" r:id="rId275" display="10.1145/3785520.3785521"/>
    <hyperlink ref="H311" r:id="rId276" display="10.23919/mixdes69535.2026.11617208"/>
    <hyperlink ref="H312" r:id="rId277" display="10.1109/ickecs70176.2026.11527971"/>
    <hyperlink ref="H313" r:id="rId278" display="10.1145/3626641.3627018"/>
    <hyperlink ref="H314" r:id="rId279" display="10.1109/iceei59426.2023.10346851"/>
    <hyperlink ref="H315" r:id="rId280" display="10.1109/aieee71113.2026.11577039"/>
    <hyperlink ref="H316" r:id="rId281" display="10.1007/978-3-032-20235-2_33"/>
    <hyperlink ref="H317" r:id="rId282" display="10.1109/iotais67227.2025.11282126"/>
    <hyperlink ref="H318" r:id="rId283" display="10.1109/siu71813.2026.11636870"/>
    <hyperlink ref="H319" r:id="rId284" display="10.1109/giest66547.2025.11387262"/>
    <hyperlink ref="H320" r:id="rId285" display="10.1109/icadeis52521.2021.9702081"/>
    <hyperlink ref="H321" r:id="rId286" display="10.1109/access.2025.3624661"/>
    <hyperlink ref="H322" r:id="rId287" display="10.1007/978-3-032-29501-9_3"/>
    <hyperlink ref="H323" r:id="rId288" display="10.1109/jiot.2025.3611318"/>
    <hyperlink ref="H324" r:id="rId289" display="10.1109/sbesc68008.2025.11288889"/>
    <hyperlink ref="H325" r:id="rId290" display="10.1109/atnt61688.2024.10719299"/>
    <hyperlink ref="H326" r:id="rId291" display="10.11591/ijece.v14i6.pp6846-6860"/>
    <hyperlink ref="H327" r:id="rId292" display="10.1109/tifs.2025.3583490"/>
    <hyperlink ref="H328" r:id="rId293" display="10.1109/giots.2018.8534575"/>
    <hyperlink ref="H329" r:id="rId294" display="10.1016/j.iot.2025.101788"/>
    <hyperlink ref="H330" r:id="rId295" display="10.5194/isprs-archives-xlviii-4-w16-2025-105-2025"/>
    <hyperlink ref="H331" r:id="rId296" display="10.1109/imitec50163.2020.9334108"/>
    <hyperlink ref="H332" r:id="rId297" display="10.1109/icft66708.2025.11336368"/>
    <hyperlink ref="H333" r:id="rId298" display="10.1007/s43926-026-00515-3"/>
    <hyperlink ref="H334" r:id="rId299" display="10.3390/s19010015"/>
    <hyperlink ref="H335" r:id="rId300" display="10.1109/infoteh68759.2026.11477667"/>
    <hyperlink ref="H336" r:id="rId301" display="10.1109/dcoss-iot69657.2026.00013"/>
    <hyperlink ref="H337" r:id="rId302" display="10.1109/bigdatasecurity69476.2026.00014"/>
    <hyperlink ref="H338" r:id="rId303" display="10.63180/jcsra.thestap.2024.1.2"/>
    <hyperlink ref="H339" r:id="rId304" display="10.1088/1742-6596/3191/1/012092"/>
    <hyperlink ref="H340" r:id="rId305" display="10.1109/icassp48485.2024.10446717"/>
    <hyperlink ref="H341" r:id="rId306" display="10.47974/jdmsc-2467"/>
    <hyperlink ref="H342" r:id="rId307" display="10.1109/jiot.2023.3296135"/>
    <hyperlink ref="H343" r:id="rId308" display="10.3390/s26123756"/>
    <hyperlink ref="H344" r:id="rId309" display="10.18280/ijsse.160114"/>
    <hyperlink ref="H345" r:id="rId310" display="10.1109/elnano63396.2026.11601666"/>
    <hyperlink ref="H346" r:id="rId311" display="10.22052/jns.2026.02.039"/>
    <hyperlink ref="H347" r:id="rId312" display="10.1109/iccsai64074.2025.11063770"/>
    <hyperlink ref="H348" r:id="rId313" display="10.1016/j.comcom.2021.02.012"/>
    <hyperlink ref="H349" r:id="rId314" display="10.1109/jsen.2024.3428335"/>
    <hyperlink ref="H350" r:id="rId315" display="10.1109/jiot.2025.3650529"/>
    <hyperlink ref="H351" r:id="rId316" display="10.18280/ijsse.160213"/>
    <hyperlink ref="H352" r:id="rId317" display="10.3390/sym15101886"/>
    <hyperlink ref="H353" r:id="rId318" display="10.1109/sbesc65055.2024.10771922"/>
    <hyperlink ref="H354" r:id="rId319" display="10.1109/icscn67106.2025.11308427"/>
    <hyperlink ref="H355" r:id="rId320" display="10.1016/j.phycom.2023.102043"/>
    <hyperlink ref="H356" r:id="rId321" display="10.1016/j.procs.2026.02.380"/>
    <hyperlink ref="H357" r:id="rId322" display="10.1109/isvlsi61997.2024.00100"/>
    <hyperlink ref="H358" r:id="rId323" display="10.1016/j.eij.2025.100818"/>
    <hyperlink ref="H359" r:id="rId324" display="10.1145/3716368.3735271"/>
    <hyperlink ref="H360" r:id="rId325" display="10.1109/aisummit66170.2025.11411253"/>
    <hyperlink ref="H361" r:id="rId326" display="10.1109/ccncps66785.2025.11135719"/>
    <hyperlink ref="H362" r:id="rId327" display="10.7717/peerj-cs.3899"/>
    <hyperlink ref="H363" r:id="rId328" display="10.1016/j.jisa.2026.104601"/>
    <hyperlink ref="H364" r:id="rId329" display="10.1109/fet68771.2026.11601673"/>
    <hyperlink ref="H365" r:id="rId330" display="10.3390/app15074071"/>
    <hyperlink ref="H366" r:id="rId331" display="10.3390/s21175838"/>
    <hyperlink ref="H367" r:id="rId332" display="10.1007/978-3-032-06671-8_17"/>
    <hyperlink ref="H368" r:id="rId333" display="10.1109/indin51773.2022.9976108"/>
    <hyperlink ref="H369" r:id="rId334" display="10.1109/access.2025.3554010"/>
    <hyperlink ref="H370" r:id="rId335" display="10.1016/j.future.2023.06.008"/>
    <hyperlink ref="H371" r:id="rId336" display="10.1109/access.2024.3457690"/>
    <hyperlink ref="H372" r:id="rId337" display="10.1109/optima67660.2025.11380340"/>
    <hyperlink ref="H373" r:id="rId338" display="10.1109/iceei59426.2023.10346638"/>
    <hyperlink ref="H374" r:id="rId339" display="10.1109/isct66099.2025.11297330"/>
    <hyperlink ref="H375" r:id="rId340" display="10.1109/icwt62080.2024.10674707"/>
    <hyperlink ref="H376" r:id="rId341" display="10.3390/electronics15153350"/>
    <hyperlink ref="H377" r:id="rId342" display="10.1109/tce.2025.3552533"/>
    <hyperlink ref="H378" r:id="rId343" display="10.1038/s41598-026-62561-9"/>
    <hyperlink ref="H379" r:id="rId344" display="10.1109/vtc2024-fall63153.2024.10757594"/>
    <hyperlink ref="H380" r:id="rId345" display="10.1109/milcom64451.2025.11310263"/>
    <hyperlink ref="H381" r:id="rId346" display="10.3390/digital6020035"/>
    <hyperlink ref="H382" r:id="rId347" display="10.1109/inmic65900.2025.11348195"/>
    <hyperlink ref="H383" r:id="rId348" display="10.1109/aiiot58121.2023.10174401"/>
    <hyperlink ref="H384" r:id="rId349" display="10.1109/pimrc56721.2023.10293946"/>
    <hyperlink ref="H385" r:id="rId350" display="10.1038/s41598-025-20017-6"/>
    <hyperlink ref="H386" r:id="rId351" display="10.1109/iisec69317.2026.11418483"/>
    <hyperlink ref="H387" r:id="rId352" display="10.12720/jait.17.2.390-404"/>
    <hyperlink ref="H388" r:id="rId353" display="10.3390/app16125781"/>
    <hyperlink ref="H389" r:id="rId354" display="10.1109/vtc2023-spring57618.2023.10199591"/>
    <hyperlink ref="H390" r:id="rId355" display="10.1145/3748328"/>
    <hyperlink ref="H391" r:id="rId356" display="10.1109/atnt61688.2024.10719294"/>
    <hyperlink ref="H392" r:id="rId357" display="10.1007/s10586-020-03064-8"/>
    <hyperlink ref="H393" r:id="rId358" display="10.48084/etasr.17148"/>
    <hyperlink ref="H394" r:id="rId359" display="10.1007/978-3-032-20533-9_44"/>
    <hyperlink ref="H395" r:id="rId360" display="10.1109/iceei59426.2023.10346711"/>
    <hyperlink ref="H396" r:id="rId361" display="10.1038/s41598-026-36998-x"/>
    <hyperlink ref="H397" r:id="rId362" display="10.48084/etasr.12204"/>
    <hyperlink ref="H398" r:id="rId363" display="10.3390/cryptography10020024"/>
    <hyperlink ref="H399" r:id="rId364" display="10.1007/978-3-030-32388-2_23"/>
    <hyperlink ref="H400" r:id="rId365" display="10.1145/3774906.3800492"/>
    <hyperlink ref="H401" r:id="rId366" display="10.1109/jiot.2026.3670435"/>
    <hyperlink ref="H402" r:id="rId367" display="10.1109/gcaiot68269.2025.11275556"/>
    <hyperlink ref="H403" r:id="rId368" display="10.11591/ijeecs.v36.i1.pp290-301"/>
    <hyperlink ref="H404" r:id="rId369" display="10.1109/icici68773.2026.11580525"/>
    <hyperlink ref="H405" r:id="rId370" display="10.1109/sist61674.2026.11596099"/>
    <hyperlink ref="H406" r:id="rId371" display="10.1109/cits65975.2025.11099413"/>
    <hyperlink ref="H407" r:id="rId372" display="10.1109/atigb70203.2026.11628316"/>
    <hyperlink ref="H408" r:id="rId373" display="10.1109/idaacs68557.2025.11322258"/>
    <hyperlink ref="H409" r:id="rId374" display="10.1109/acet67282.2025.11430274"/>
    <hyperlink ref="H410" r:id="rId375" display="10.1109/siu71813.2026.11636899"/>
    <hyperlink ref="H411" r:id="rId376" display="10.7717/peerj-cs.3715"/>
    <hyperlink ref="H412" r:id="rId377" display="10.1109/ises67504.2025.00087"/>
    <hyperlink ref="H413" r:id="rId378" display="10.1109/ojcoms.2026.3672889"/>
    <hyperlink ref="H414" r:id="rId379" display="10.1109/icidca66325.2025.11280454"/>
    <hyperlink ref="H415" r:id="rId380" display="10.1109/aims66189.2025.11229500"/>
    <hyperlink ref="H416" r:id="rId381" display="10.1109/inmic65900.2025.11348580"/>
    <hyperlink ref="H417" r:id="rId382" display="10.47974/jdmsc-2558"/>
    <hyperlink ref="H418" r:id="rId383" display="10.1109/tce.2025.3645059"/>
    <hyperlink ref="H419" r:id="rId384" display="10.1109/jiot.2026.3684991"/>
    <hyperlink ref="H420" r:id="rId385" display="10.52549/ijeei.v13i1.6021"/>
    <hyperlink ref="H421" r:id="rId386" display="10.1371/journal.pone.0355179"/>
    <hyperlink ref="H422" r:id="rId387" display="10.1088/2631-8695/ae05ea"/>
    <hyperlink ref="H423" r:id="rId388" display="10.1007/s11227-025-07448-8"/>
    <hyperlink ref="H424" r:id="rId389" display="10.26636/jtit.2026.2.2545"/>
    <hyperlink ref="H425" r:id="rId390" display="10.1109/csitss64042.2024.10817029"/>
    <hyperlink ref="H426" r:id="rId391" display="10.1016/j.phycom.2026.103271"/>
    <hyperlink ref="H427" r:id="rId392" display="10.1109/icocics68032.2025.11383867"/>
    <hyperlink ref="H428" r:id="rId393" display="10.3390/iot7010021"/>
    <hyperlink ref="H429" r:id="rId394" display="10.1016/j.comcom.2022.04.027"/>
    <hyperlink ref="H430" r:id="rId395" display="10.1109/access.2026.3682631"/>
    <hyperlink ref="H431" r:id="rId396" display="10.3390/math10193421"/>
    <hyperlink ref="H432" r:id="rId397" display="10.1016/j.iot.2025.101855"/>
    <hyperlink ref="H433" r:id="rId398" display="10.1109/sist61674.2026.11596207"/>
    <hyperlink ref="H434" r:id="rId399" display="10.1063/5.0322488"/>
    <hyperlink ref="H435" r:id="rId400" display="10.1007/s10796-023-10383-9"/>
    <hyperlink ref="H436" r:id="rId401" display="10.1016/j.pmcj.2026.102272"/>
    <hyperlink ref="H437" r:id="rId402" display="10.1038/s41598-025-21861-2"/>
    <hyperlink ref="H438" r:id="rId403" display="10.1016/j.iot.2024.101389"/>
    <hyperlink ref="H439" r:id="rId404" display="10.1109/access.2025.3605060"/>
    <hyperlink ref="H441" r:id="rId405" display="10.5220/0013508400003979"/>
    <hyperlink ref="H442" r:id="rId406" display="10.1109/icc59461.2026.11587750"/>
    <hyperlink ref="H443" r:id="rId407" display="10.1007/978-3-031-87784-1_15"/>
    <hyperlink ref="H444" r:id="rId408" display="10.1109/smartcomp.2019.00057"/>
    <hyperlink ref="H445" r:id="rId409" display="10.1049/smc2.70040"/>
    <hyperlink ref="H446" r:id="rId410" display="10.1109/iaict71158.2026.11620842"/>
    <hyperlink ref="H447" r:id="rId411" display="10.3390/jimaging12090442"/>
    <hyperlink ref="H448" r:id="rId412" display="10.3390/math14152800"/>
    <hyperlink ref="H449" r:id="rId413" display="10.1109/aide69088.2026.11544415"/>
    <hyperlink ref="H450" r:id="rId414" display="10.1007/978-3-031-19663-8"/>
    <hyperlink ref="H451" r:id="rId415" display="10.1109/iscaie68866.2026.11576489"/>
    <hyperlink ref="H452" r:id="rId416" display="10.1109/les.2026.3694966"/>
    <hyperlink ref="H453" r:id="rId417" display="10.1109/healthcom60970.2024.10880820"/>
    <hyperlink ref="H455" r:id="rId418" display="10.17586/2226-1494-2025-25-5-923-932"/>
    <hyperlink ref="H456" r:id="rId419" display="10.5220/0012764800003767"/>
    <hyperlink ref="H457" r:id="rId420" display="10.1109/icces67310.2025.11336308"/>
    <hyperlink ref="H459" r:id="rId421" display="10.52866/2788-7421.1287"/>
    <hyperlink ref="H460" r:id="rId422" display="10.1109/icdv66179.2025.11134863"/>
    <hyperlink ref="H461" r:id="rId423" display="10.1109/naecon65708.2025.11235342"/>
    <hyperlink ref="H462" r:id="rId424" display="10.1109/cicn67655.2025.11368088"/>
    <hyperlink ref="H463" r:id="rId425" display="10.3390/network4030013"/>
    <hyperlink ref="H464" r:id="rId426" display="10.1201/9781003753377-39"/>
    <hyperlink ref="H466" r:id="rId427" display="10.1109/jiot.2026.3678187"/>
    <hyperlink ref="H467" r:id="rId428" display="10.1109/icecet65726.2026.11632553"/>
    <hyperlink ref="H468" r:id="rId429" display="10.46586/tches.v2021.i3.756-779"/>
    <hyperlink ref="H469" r:id="rId430" display="10.1145/3773274.3774927"/>
    <hyperlink ref="H470" r:id="rId431" display="10.1109/jiot.2024.3503906"/>
    <hyperlink ref="H471" r:id="rId432" display="10.5220/0012112700003555"/>
    <hyperlink ref="H472" r:id="rId433" display="10.3390/s25165103"/>
    <hyperlink ref="H473" r:id="rId434" display="10.19363/j.cnki.cn10-1380/tn.2022.03.04"/>
    <hyperlink ref="H474" r:id="rId435" display="10.1002/9781394261833.ch6"/>
    <hyperlink ref="H475" r:id="rId436" display="10.1002/eng2.70293"/>
    <hyperlink ref="H476" r:id="rId437" display="10.1109/icoin56518.2023.10048959"/>
    <hyperlink ref="H477" r:id="rId438" display="10.1109/usbereit51232.2021.9455037"/>
    <hyperlink ref="H478" r:id="rId439" display="10.3390/s26185847"/>
    <hyperlink ref="H479" r:id="rId440" display="10.1007/978-3-032-16995-2_30"/>
    <hyperlink ref="H480" r:id="rId441" display="10.1007/978-3-032-18415-3_9"/>
    <hyperlink ref="H481" r:id="rId442" display="10.48084/etasr.16985"/>
    <hyperlink ref="H482" r:id="rId443" display="10.1002/cta.70489"/>
    <hyperlink ref="H483" r:id="rId444" display="10.1109/icbase70763.2026.11619478"/>
    <hyperlink ref="H484" r:id="rId445" display="10.1109/ccnc65079.2026.11366429"/>
    <hyperlink ref="H485" r:id="rId446" display="10.1109/wf-iot.2019.8767250"/>
    <hyperlink ref="H486" r:id="rId447" display="10.14569/ijacsa.2025.0160273"/>
    <hyperlink ref="H487" r:id="rId448" display="10.1145/3680207.3765699"/>
    <hyperlink ref="H488" r:id="rId449" display="10.1109/iconscept66142.2025.11437126"/>
    <hyperlink ref="H489" r:id="rId450" display="10.1109/jiot.2026.3702969"/>
    <hyperlink ref="H490" r:id="rId451" display="10.3390/sci7030091"/>
    <hyperlink ref="H491" r:id="rId452" display="10.1109/aiiot68874.2026.11569587"/>
    <hyperlink ref="H492" r:id="rId453" display="10.22266/ijies2026.0930.50"/>
    <hyperlink ref="H494" r:id="rId454" display="10.1109/icera72709.2026.11666653"/>
    <hyperlink ref="H495" r:id="rId455" display="10.1007/978-3-032-22114-8_41"/>
    <hyperlink ref="H496" r:id="rId456" display="10.1109/icdm68174.2025.11309679"/>
    <hyperlink ref="H497" r:id="rId457" display="10.14569/ijacsa.2025.0160989"/>
    <hyperlink ref="H498" r:id="rId458" display="10.3844/jcssp.2026.185.201"/>
    <hyperlink ref="H499" r:id="rId459" display="10.1109/satc69565.2026.11542264"/>
    <hyperlink ref="H500" r:id="rId460" display="10.1016/j.jisa.2026.104539"/>
    <hyperlink ref="H501" r:id="rId461" display="10.1016/j.jestch.2025.102108"/>
    <hyperlink ref="H502" r:id="rId462" display="10.18517/ijaseit.12.2.8601"/>
    <hyperlink ref="H503" r:id="rId463" display="10.1109/giest66547.2025.11387598"/>
    <hyperlink ref="H504" r:id="rId464" display="10.1109/icads69450.2026.11545478"/>
    <hyperlink ref="H505" r:id="rId465" display="10.1109/icoiact67584.2025.11344930"/>
    <hyperlink ref="H506" r:id="rId466" display="10.3390/s26061752"/>
    <hyperlink ref="H507" r:id="rId467" display="10.1109/ccece68150.2026.11610010"/>
    <hyperlink ref="H508" r:id="rId468" display="10.1016/j.compeleceng.2026.111143"/>
    <hyperlink ref="H510" r:id="rId469" display="10.23919/mixdes66264.2025.1109205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7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2"/>
    <col collapsed="false" customWidth="true" hidden="false" outlineLevel="0" max="3" min="3" style="0" width="60"/>
  </cols>
  <sheetData>
    <row r="1" customFormat="false" ht="15" hidden="false" customHeight="false" outlineLevel="0" collapsed="false">
      <c r="A1" s="14" t="s">
        <v>2954</v>
      </c>
      <c r="B1" s="15"/>
      <c r="C1" s="15"/>
    </row>
    <row r="2" customFormat="false" ht="15" hidden="false" customHeight="false" outlineLevel="0" collapsed="false">
      <c r="A2" s="16" t="s">
        <v>2955</v>
      </c>
      <c r="B2" s="16" t="n">
        <f aca="false">'Search log'!G2</f>
        <v>219</v>
      </c>
      <c r="C2" s="16"/>
    </row>
    <row r="3" customFormat="false" ht="15" hidden="false" customHeight="false" outlineLevel="0" collapsed="false">
      <c r="A3" s="16" t="s">
        <v>2956</v>
      </c>
      <c r="B3" s="16" t="n">
        <f aca="false">'Search log'!G3</f>
        <v>103</v>
      </c>
      <c r="C3" s="16"/>
    </row>
    <row r="4" customFormat="false" ht="15" hidden="false" customHeight="false" outlineLevel="0" collapsed="false">
      <c r="A4" s="16" t="s">
        <v>2957</v>
      </c>
      <c r="B4" s="16" t="n">
        <f aca="false">'Search log'!G5</f>
        <v>212</v>
      </c>
      <c r="C4" s="16" t="s">
        <v>2958</v>
      </c>
    </row>
    <row r="5" customFormat="false" ht="15" hidden="false" customHeight="false" outlineLevel="0" collapsed="false">
      <c r="A5" s="16" t="s">
        <v>2959</v>
      </c>
      <c r="B5" s="16" t="n">
        <f aca="false">SUM(B2:B4)</f>
        <v>534</v>
      </c>
      <c r="C5" s="16"/>
    </row>
    <row r="6" customFormat="false" ht="15" hidden="false" customHeight="false" outlineLevel="0" collapsed="false">
      <c r="A6" s="16" t="s">
        <v>2960</v>
      </c>
      <c r="B6" s="16" t="n">
        <f aca="false">B5-COUNTA(Screening!$A$2:$A$510)</f>
        <v>25</v>
      </c>
      <c r="C6" s="16" t="s">
        <v>2961</v>
      </c>
    </row>
    <row r="7" customFormat="false" ht="15" hidden="false" customHeight="false" outlineLevel="0" collapsed="false">
      <c r="A7" s="14" t="s">
        <v>2962</v>
      </c>
      <c r="B7" s="15"/>
      <c r="C7" s="15"/>
    </row>
    <row r="8" customFormat="false" ht="15" hidden="false" customHeight="false" outlineLevel="0" collapsed="false">
      <c r="A8" s="16" t="s">
        <v>2963</v>
      </c>
      <c r="B8" s="16" t="n">
        <f aca="false">COUNTA(Screening!$A$2:$A$510)</f>
        <v>509</v>
      </c>
      <c r="C8" s="16"/>
    </row>
    <row r="9" customFormat="false" ht="15" hidden="false" customHeight="false" outlineLevel="0" collapsed="false">
      <c r="A9" s="16" t="s">
        <v>2964</v>
      </c>
      <c r="B9" s="16" t="n">
        <f aca="false">B8-B10</f>
        <v>261</v>
      </c>
      <c r="C9" s="16"/>
    </row>
    <row r="10" customFormat="false" ht="15" hidden="false" customHeight="false" outlineLevel="0" collapsed="false">
      <c r="A10" s="16" t="s">
        <v>2965</v>
      </c>
      <c r="B10" s="16" t="n">
        <f aca="false">COUNTIF(Screening!$O$2:$O$510,"Include")</f>
        <v>248</v>
      </c>
      <c r="C10" s="16"/>
    </row>
    <row r="11" customFormat="false" ht="15" hidden="false" customHeight="false" outlineLevel="0" collapsed="false">
      <c r="A11" s="16" t="s">
        <v>2966</v>
      </c>
      <c r="B11" s="16" t="n">
        <f aca="false">COUNTIF(Screening!$O$2:$O$510,"EC1")</f>
        <v>5</v>
      </c>
      <c r="C11" s="16"/>
    </row>
    <row r="12" customFormat="false" ht="15" hidden="false" customHeight="false" outlineLevel="0" collapsed="false">
      <c r="A12" s="16" t="s">
        <v>2967</v>
      </c>
      <c r="B12" s="16" t="n">
        <f aca="false">COUNTIF(Screening!$O$2:$O$510,"EC2")</f>
        <v>3</v>
      </c>
      <c r="C12" s="16"/>
    </row>
    <row r="13" customFormat="false" ht="15" hidden="false" customHeight="false" outlineLevel="0" collapsed="false">
      <c r="A13" s="16" t="s">
        <v>2968</v>
      </c>
      <c r="B13" s="16" t="n">
        <f aca="false">COUNTIF(Screening!$O$2:$O$510,"EC3")</f>
        <v>1</v>
      </c>
      <c r="C13" s="16"/>
    </row>
    <row r="14" customFormat="false" ht="15" hidden="false" customHeight="false" outlineLevel="0" collapsed="false">
      <c r="A14" s="16" t="s">
        <v>2969</v>
      </c>
      <c r="B14" s="16" t="n">
        <f aca="false">COUNTIF(Screening!$O$2:$O$510,"EC4")</f>
        <v>31</v>
      </c>
      <c r="C14" s="16"/>
    </row>
    <row r="15" customFormat="false" ht="15" hidden="false" customHeight="false" outlineLevel="0" collapsed="false">
      <c r="A15" s="16" t="s">
        <v>2970</v>
      </c>
      <c r="B15" s="16" t="n">
        <f aca="false">COUNTIF(Screening!$O$2:$O$510,"EC5")</f>
        <v>3</v>
      </c>
      <c r="C15" s="16"/>
    </row>
    <row r="16" customFormat="false" ht="15" hidden="false" customHeight="false" outlineLevel="0" collapsed="false">
      <c r="A16" s="16" t="s">
        <v>2971</v>
      </c>
      <c r="B16" s="16" t="n">
        <f aca="false">COUNTIF(Screening!$O$2:$O$510,"EC6")</f>
        <v>164</v>
      </c>
      <c r="C16" s="16"/>
    </row>
    <row r="17" customFormat="false" ht="15" hidden="false" customHeight="false" outlineLevel="0" collapsed="false">
      <c r="A17" s="16" t="s">
        <v>2972</v>
      </c>
      <c r="B17" s="16" t="n">
        <f aca="false">COUNTIF(Screening!$O$2:$O$510,"EC7")</f>
        <v>51</v>
      </c>
      <c r="C17" s="16"/>
    </row>
    <row r="18" customFormat="false" ht="15" hidden="false" customHeight="false" outlineLevel="0" collapsed="false">
      <c r="A18" s="16" t="s">
        <v>2973</v>
      </c>
      <c r="B18" s="16" t="n">
        <f aca="false">COUNTIF(Screening!$O$2:$O$510,"EC8")</f>
        <v>3</v>
      </c>
      <c r="C18" s="16"/>
    </row>
    <row r="19" customFormat="false" ht="15" hidden="false" customHeight="false" outlineLevel="0" collapsed="false">
      <c r="A19" s="16" t="s">
        <v>2974</v>
      </c>
      <c r="B19" s="16" t="n">
        <f aca="false">B9-SUM(B11:B18)</f>
        <v>0</v>
      </c>
      <c r="C19" s="16"/>
    </row>
    <row r="20" customFormat="false" ht="15" hidden="false" customHeight="false" outlineLevel="0" collapsed="false">
      <c r="A20" s="16" t="s">
        <v>2975</v>
      </c>
      <c r="B20" s="16" t="n">
        <f aca="false">COUNTIFS(Screening!$O$2:$O$510,"Include",Screening!$K$2:$K$510,"2.1")</f>
        <v>148</v>
      </c>
      <c r="C20" s="16"/>
    </row>
    <row r="21" customFormat="false" ht="15" hidden="false" customHeight="false" outlineLevel="0" collapsed="false">
      <c r="A21" s="16" t="s">
        <v>2976</v>
      </c>
      <c r="B21" s="16" t="n">
        <f aca="false">COUNTIFS(Screening!$O$2:$O$510,"Include",Screening!$K$2:$K$510,"2.1 / 2.2")</f>
        <v>11</v>
      </c>
      <c r="C21" s="16"/>
    </row>
    <row r="22" customFormat="false" ht="15" hidden="false" customHeight="false" outlineLevel="0" collapsed="false">
      <c r="A22" s="16" t="s">
        <v>2977</v>
      </c>
      <c r="B22" s="16" t="n">
        <f aca="false">COUNTIFS(Screening!$O$2:$O$510,"Include",Screening!$K$2:$K$510,"2.3")</f>
        <v>85</v>
      </c>
      <c r="C22" s="16"/>
    </row>
    <row r="23" customFormat="false" ht="15" hidden="false" customHeight="false" outlineLevel="0" collapsed="false">
      <c r="A23" s="16" t="s">
        <v>2978</v>
      </c>
      <c r="B23" s="16" t="n">
        <f aca="false">COUNTIFS(Screening!$O$2:$O$510,"Include",Screening!$K$2:$K$510,"2.4")</f>
        <v>4</v>
      </c>
      <c r="C23" s="16"/>
    </row>
    <row r="24" customFormat="false" ht="15" hidden="false" customHeight="false" outlineLevel="0" collapsed="false">
      <c r="A24" s="14" t="s">
        <v>2979</v>
      </c>
      <c r="B24" s="15"/>
      <c r="C24" s="15"/>
    </row>
    <row r="25" customFormat="false" ht="15" hidden="false" customHeight="false" outlineLevel="0" collapsed="false">
      <c r="A25" s="16" t="s">
        <v>2980</v>
      </c>
      <c r="B25" s="17"/>
      <c r="C25" s="16" t="s">
        <v>2981</v>
      </c>
    </row>
    <row r="26" customFormat="false" ht="15" hidden="false" customHeight="false" outlineLevel="0" collapsed="false">
      <c r="A26" s="16" t="s">
        <v>2982</v>
      </c>
      <c r="B26" s="17"/>
      <c r="C26" s="16" t="s">
        <v>2983</v>
      </c>
    </row>
    <row r="27" customFormat="false" ht="15" hidden="false" customHeight="false" outlineLevel="0" collapsed="false">
      <c r="A27" s="16" t="s">
        <v>2984</v>
      </c>
      <c r="B27" s="17"/>
      <c r="C27" s="16" t="s">
        <v>2985</v>
      </c>
    </row>
    <row r="28" customFormat="false" ht="15" hidden="false" customHeight="false" outlineLevel="0" collapsed="false">
      <c r="A28" s="16" t="s">
        <v>2986</v>
      </c>
      <c r="B28" s="17"/>
      <c r="C28" s="16" t="s">
        <v>2987</v>
      </c>
    </row>
    <row r="29" customFormat="false" ht="15" hidden="false" customHeight="false" outlineLevel="0" collapsed="false">
      <c r="A29" s="16" t="s">
        <v>2988</v>
      </c>
      <c r="B29" s="17"/>
      <c r="C29" s="16" t="s">
        <v>2989</v>
      </c>
    </row>
    <row r="30" customFormat="false" ht="15" hidden="false" customHeight="false" outlineLevel="0" collapsed="false">
      <c r="A30" s="16" t="s">
        <v>2990</v>
      </c>
      <c r="B30" s="16" t="str">
        <f aca="false">IF(B25="","",B25-B26-B27+B28+B29)</f>
        <v/>
      </c>
      <c r="C30" s="16" t="s">
        <v>2991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60"/>
    <col collapsed="false" customWidth="true" hidden="false" outlineLevel="0" max="4" min="4" style="0" width="6"/>
    <col collapsed="false" customWidth="true" hidden="false" outlineLevel="0" max="5" min="5" style="0" width="11"/>
    <col collapsed="false" customWidth="true" hidden="false" outlineLevel="0" max="6" min="6" style="0" width="24"/>
    <col collapsed="false" customWidth="true" hidden="false" outlineLevel="0" max="7" min="7" style="0" width="50"/>
    <col collapsed="false" customWidth="true" hidden="false" outlineLevel="0" max="8" min="8" style="0" width="18"/>
  </cols>
  <sheetData>
    <row r="1" customFormat="false" ht="26.85" hidden="false" customHeight="false" outlineLevel="0" collapsed="false">
      <c r="A1" s="4" t="s">
        <v>93</v>
      </c>
      <c r="B1" s="4" t="s">
        <v>122</v>
      </c>
      <c r="C1" s="4" t="s">
        <v>124</v>
      </c>
      <c r="D1" s="4" t="s">
        <v>125</v>
      </c>
      <c r="E1" s="4" t="s">
        <v>91</v>
      </c>
      <c r="F1" s="4" t="s">
        <v>129</v>
      </c>
      <c r="G1" s="4" t="s">
        <v>2992</v>
      </c>
      <c r="H1" s="4" t="s">
        <v>2993</v>
      </c>
    </row>
    <row r="2" customFormat="false" ht="23.85" hidden="false" customHeight="false" outlineLevel="0" collapsed="false">
      <c r="A2" s="2" t="s">
        <v>96</v>
      </c>
      <c r="B2" s="2" t="s">
        <v>1470</v>
      </c>
      <c r="C2" s="2" t="s">
        <v>1471</v>
      </c>
      <c r="D2" s="2" t="n">
        <v>2024</v>
      </c>
      <c r="E2" s="2" t="s">
        <v>97</v>
      </c>
      <c r="F2" s="18" t="s">
        <v>1473</v>
      </c>
      <c r="G2" s="2" t="s">
        <v>2994</v>
      </c>
      <c r="H2" s="19"/>
    </row>
    <row r="3" customFormat="false" ht="23.85" hidden="false" customHeight="false" outlineLevel="0" collapsed="false">
      <c r="A3" s="2" t="s">
        <v>96</v>
      </c>
      <c r="B3" s="2" t="s">
        <v>700</v>
      </c>
      <c r="C3" s="2" t="s">
        <v>701</v>
      </c>
      <c r="D3" s="2" t="n">
        <v>2025</v>
      </c>
      <c r="E3" s="2" t="s">
        <v>97</v>
      </c>
      <c r="F3" s="18" t="s">
        <v>704</v>
      </c>
      <c r="G3" s="2" t="s">
        <v>2995</v>
      </c>
      <c r="H3" s="19"/>
    </row>
    <row r="4" customFormat="false" ht="23.85" hidden="false" customHeight="false" outlineLevel="0" collapsed="false">
      <c r="A4" s="2" t="s">
        <v>96</v>
      </c>
      <c r="B4" s="2" t="s">
        <v>495</v>
      </c>
      <c r="C4" s="2" t="s">
        <v>496</v>
      </c>
      <c r="D4" s="2" t="n">
        <v>2026</v>
      </c>
      <c r="E4" s="2" t="s">
        <v>97</v>
      </c>
      <c r="F4" s="18" t="s">
        <v>498</v>
      </c>
      <c r="G4" s="2" t="s">
        <v>2996</v>
      </c>
      <c r="H4" s="19"/>
    </row>
    <row r="5" customFormat="false" ht="23.85" hidden="false" customHeight="false" outlineLevel="0" collapsed="false">
      <c r="A5" s="2" t="s">
        <v>96</v>
      </c>
      <c r="B5" s="2" t="s">
        <v>1240</v>
      </c>
      <c r="C5" s="2" t="s">
        <v>1241</v>
      </c>
      <c r="D5" s="2" t="n">
        <v>2026</v>
      </c>
      <c r="E5" s="2" t="s">
        <v>97</v>
      </c>
      <c r="F5" s="18" t="s">
        <v>1244</v>
      </c>
      <c r="G5" s="2" t="s">
        <v>2997</v>
      </c>
      <c r="H5" s="19"/>
    </row>
    <row r="6" customFormat="false" ht="15" hidden="false" customHeight="false" outlineLevel="0" collapsed="false">
      <c r="A6" s="2" t="s">
        <v>96</v>
      </c>
      <c r="B6" s="2" t="s">
        <v>917</v>
      </c>
      <c r="C6" s="2" t="s">
        <v>918</v>
      </c>
      <c r="D6" s="2" t="n">
        <v>2017</v>
      </c>
      <c r="E6" s="2" t="s">
        <v>101</v>
      </c>
      <c r="F6" s="18" t="s">
        <v>920</v>
      </c>
      <c r="G6" s="2" t="s">
        <v>2998</v>
      </c>
      <c r="H6" s="19"/>
    </row>
    <row r="7" customFormat="false" ht="15" hidden="false" customHeight="false" outlineLevel="0" collapsed="false">
      <c r="A7" s="2" t="s">
        <v>96</v>
      </c>
      <c r="B7" s="2" t="s">
        <v>1140</v>
      </c>
      <c r="C7" s="2" t="s">
        <v>1141</v>
      </c>
      <c r="D7" s="2" t="n">
        <v>2022</v>
      </c>
      <c r="E7" s="2" t="s">
        <v>101</v>
      </c>
      <c r="F7" s="18" t="s">
        <v>1143</v>
      </c>
      <c r="G7" s="2" t="s">
        <v>2999</v>
      </c>
      <c r="H7" s="19"/>
    </row>
    <row r="8" customFormat="false" ht="23.85" hidden="false" customHeight="false" outlineLevel="0" collapsed="false">
      <c r="A8" s="2" t="s">
        <v>96</v>
      </c>
      <c r="B8" s="2" t="s">
        <v>205</v>
      </c>
      <c r="C8" s="2" t="s">
        <v>206</v>
      </c>
      <c r="D8" s="2" t="n">
        <v>2023</v>
      </c>
      <c r="E8" s="2" t="s">
        <v>101</v>
      </c>
      <c r="F8" s="18" t="s">
        <v>209</v>
      </c>
      <c r="G8" s="2" t="s">
        <v>3000</v>
      </c>
      <c r="H8" s="19"/>
    </row>
    <row r="9" customFormat="false" ht="15" hidden="false" customHeight="false" outlineLevel="0" collapsed="false">
      <c r="A9" s="2" t="s">
        <v>96</v>
      </c>
      <c r="B9" s="2" t="s">
        <v>862</v>
      </c>
      <c r="C9" s="2" t="s">
        <v>863</v>
      </c>
      <c r="D9" s="2" t="n">
        <v>2024</v>
      </c>
      <c r="E9" s="2" t="s">
        <v>101</v>
      </c>
      <c r="F9" s="18" t="s">
        <v>865</v>
      </c>
      <c r="G9" s="2" t="s">
        <v>3001</v>
      </c>
      <c r="H9" s="19"/>
    </row>
    <row r="10" customFormat="false" ht="23.85" hidden="false" customHeight="false" outlineLevel="0" collapsed="false">
      <c r="A10" s="2" t="s">
        <v>96</v>
      </c>
      <c r="B10" s="2" t="s">
        <v>438</v>
      </c>
      <c r="C10" s="2" t="s">
        <v>439</v>
      </c>
      <c r="D10" s="2" t="n">
        <v>2025</v>
      </c>
      <c r="E10" s="2" t="s">
        <v>101</v>
      </c>
      <c r="F10" s="18" t="s">
        <v>442</v>
      </c>
      <c r="G10" s="2" t="s">
        <v>3002</v>
      </c>
      <c r="H10" s="19"/>
    </row>
    <row r="11" customFormat="false" ht="15" hidden="false" customHeight="false" outlineLevel="0" collapsed="false">
      <c r="A11" s="2" t="s">
        <v>96</v>
      </c>
      <c r="B11" s="2" t="s">
        <v>643</v>
      </c>
      <c r="C11" s="2" t="s">
        <v>644</v>
      </c>
      <c r="D11" s="2" t="n">
        <v>2018</v>
      </c>
      <c r="E11" s="2" t="s">
        <v>99</v>
      </c>
      <c r="F11" s="18" t="s">
        <v>647</v>
      </c>
      <c r="G11" s="2" t="s">
        <v>3003</v>
      </c>
      <c r="H11" s="19"/>
    </row>
    <row r="12" customFormat="false" ht="23.85" hidden="false" customHeight="false" outlineLevel="0" collapsed="false">
      <c r="A12" s="2" t="s">
        <v>96</v>
      </c>
      <c r="B12" s="2" t="s">
        <v>927</v>
      </c>
      <c r="C12" s="2" t="s">
        <v>928</v>
      </c>
      <c r="D12" s="2" t="n">
        <v>2022</v>
      </c>
      <c r="E12" s="2" t="s">
        <v>99</v>
      </c>
      <c r="F12" s="18" t="s">
        <v>930</v>
      </c>
      <c r="G12" s="2" t="s">
        <v>3004</v>
      </c>
      <c r="H12" s="19"/>
    </row>
    <row r="13" customFormat="false" ht="23.85" hidden="false" customHeight="false" outlineLevel="0" collapsed="false">
      <c r="A13" s="2" t="s">
        <v>96</v>
      </c>
      <c r="B13" s="2" t="s">
        <v>1118</v>
      </c>
      <c r="C13" s="2" t="s">
        <v>1119</v>
      </c>
      <c r="D13" s="2" t="n">
        <v>2023</v>
      </c>
      <c r="E13" s="2" t="s">
        <v>99</v>
      </c>
      <c r="F13" s="18" t="s">
        <v>1121</v>
      </c>
      <c r="G13" s="2" t="s">
        <v>3005</v>
      </c>
      <c r="H13" s="19"/>
    </row>
    <row r="14" customFormat="false" ht="15" hidden="false" customHeight="false" outlineLevel="0" collapsed="false">
      <c r="A14" s="2" t="s">
        <v>96</v>
      </c>
      <c r="B14" s="2" t="s">
        <v>1051</v>
      </c>
      <c r="C14" s="2" t="s">
        <v>1052</v>
      </c>
      <c r="D14" s="2" t="n">
        <v>2024</v>
      </c>
      <c r="E14" s="2" t="s">
        <v>99</v>
      </c>
      <c r="F14" s="18" t="s">
        <v>1054</v>
      </c>
      <c r="G14" s="2" t="s">
        <v>3006</v>
      </c>
      <c r="H14" s="19"/>
    </row>
    <row r="15" customFormat="false" ht="23.85" hidden="false" customHeight="false" outlineLevel="0" collapsed="false">
      <c r="A15" s="2" t="s">
        <v>96</v>
      </c>
      <c r="B15" s="2" t="s">
        <v>1024</v>
      </c>
      <c r="C15" s="2" t="s">
        <v>1025</v>
      </c>
      <c r="D15" s="2" t="n">
        <v>2025</v>
      </c>
      <c r="E15" s="2" t="s">
        <v>99</v>
      </c>
      <c r="F15" s="18" t="s">
        <v>1027</v>
      </c>
      <c r="G15" s="2" t="s">
        <v>3007</v>
      </c>
      <c r="H15" s="19"/>
    </row>
    <row r="16" customFormat="false" ht="23.85" hidden="false" customHeight="false" outlineLevel="0" collapsed="false">
      <c r="A16" s="2" t="s">
        <v>96</v>
      </c>
      <c r="B16" s="2" t="s">
        <v>356</v>
      </c>
      <c r="C16" s="2" t="s">
        <v>357</v>
      </c>
      <c r="D16" s="2" t="n">
        <v>2026</v>
      </c>
      <c r="E16" s="2" t="s">
        <v>99</v>
      </c>
      <c r="F16" s="18" t="s">
        <v>360</v>
      </c>
      <c r="G16" s="2" t="s">
        <v>3008</v>
      </c>
      <c r="H16" s="19"/>
    </row>
    <row r="17" customFormat="false" ht="23.85" hidden="false" customHeight="false" outlineLevel="0" collapsed="false">
      <c r="A17" s="2" t="s">
        <v>96</v>
      </c>
      <c r="B17" s="2" t="s">
        <v>390</v>
      </c>
      <c r="C17" s="2" t="s">
        <v>391</v>
      </c>
      <c r="D17" s="2" t="n">
        <v>2026</v>
      </c>
      <c r="E17" s="2" t="s">
        <v>99</v>
      </c>
      <c r="F17" s="18" t="s">
        <v>394</v>
      </c>
      <c r="G17" s="2" t="s">
        <v>3009</v>
      </c>
      <c r="H17" s="19"/>
    </row>
    <row r="18" customFormat="false" ht="23.85" hidden="false" customHeight="false" outlineLevel="0" collapsed="false">
      <c r="A18" s="2" t="s">
        <v>96</v>
      </c>
      <c r="B18" s="2" t="s">
        <v>326</v>
      </c>
      <c r="C18" s="2" t="s">
        <v>327</v>
      </c>
      <c r="D18" s="2" t="n">
        <v>2024</v>
      </c>
      <c r="E18" s="2" t="s">
        <v>103</v>
      </c>
      <c r="F18" s="18" t="s">
        <v>330</v>
      </c>
      <c r="G18" s="2" t="s">
        <v>3010</v>
      </c>
      <c r="H18" s="19"/>
    </row>
    <row r="19" customFormat="false" ht="15" hidden="false" customHeight="false" outlineLevel="0" collapsed="false">
      <c r="A19" s="2" t="s">
        <v>96</v>
      </c>
      <c r="B19" s="2" t="s">
        <v>688</v>
      </c>
      <c r="C19" s="2" t="s">
        <v>689</v>
      </c>
      <c r="D19" s="2" t="n">
        <v>2020</v>
      </c>
      <c r="E19" s="2" t="s">
        <v>94</v>
      </c>
      <c r="F19" s="18" t="s">
        <v>692</v>
      </c>
      <c r="G19" s="2" t="s">
        <v>3011</v>
      </c>
      <c r="H19" s="19"/>
    </row>
    <row r="20" customFormat="false" ht="23.85" hidden="false" customHeight="false" outlineLevel="0" collapsed="false">
      <c r="A20" s="2" t="s">
        <v>96</v>
      </c>
      <c r="B20" s="2" t="s">
        <v>282</v>
      </c>
      <c r="C20" s="2" t="s">
        <v>283</v>
      </c>
      <c r="D20" s="2" t="n">
        <v>2024</v>
      </c>
      <c r="E20" s="2" t="s">
        <v>94</v>
      </c>
      <c r="F20" s="18" t="s">
        <v>286</v>
      </c>
      <c r="G20" s="2" t="s">
        <v>3012</v>
      </c>
      <c r="H20" s="19"/>
    </row>
    <row r="21" customFormat="false" ht="23.85" hidden="false" customHeight="false" outlineLevel="0" collapsed="false">
      <c r="A21" s="2" t="s">
        <v>96</v>
      </c>
      <c r="B21" s="2" t="s">
        <v>637</v>
      </c>
      <c r="C21" s="2" t="s">
        <v>638</v>
      </c>
      <c r="D21" s="2" t="n">
        <v>2024</v>
      </c>
      <c r="E21" s="2" t="s">
        <v>94</v>
      </c>
      <c r="F21" s="18" t="s">
        <v>641</v>
      </c>
      <c r="G21" s="2" t="s">
        <v>3013</v>
      </c>
      <c r="H21" s="19"/>
    </row>
    <row r="22" customFormat="false" ht="23.85" hidden="false" customHeight="false" outlineLevel="0" collapsed="false">
      <c r="A22" s="2" t="s">
        <v>96</v>
      </c>
      <c r="B22" s="2" t="s">
        <v>994</v>
      </c>
      <c r="C22" s="2" t="s">
        <v>995</v>
      </c>
      <c r="D22" s="2" t="n">
        <v>2026</v>
      </c>
      <c r="E22" s="2" t="s">
        <v>94</v>
      </c>
      <c r="F22" s="18" t="s">
        <v>998</v>
      </c>
      <c r="G22" s="2" t="s">
        <v>3014</v>
      </c>
      <c r="H22" s="19"/>
    </row>
    <row r="23" customFormat="false" ht="15" hidden="false" customHeight="false" outlineLevel="0" collapsed="false">
      <c r="A23" s="2" t="s">
        <v>109</v>
      </c>
      <c r="B23" s="2" t="s">
        <v>309</v>
      </c>
      <c r="C23" s="2" t="s">
        <v>310</v>
      </c>
      <c r="D23" s="2" t="n">
        <v>2020</v>
      </c>
      <c r="E23" s="2" t="s">
        <v>107</v>
      </c>
      <c r="F23" s="18" t="s">
        <v>312</v>
      </c>
      <c r="G23" s="2" t="s">
        <v>3015</v>
      </c>
      <c r="H23" s="19"/>
    </row>
    <row r="24" customFormat="false" ht="23.85" hidden="false" customHeight="false" outlineLevel="0" collapsed="false">
      <c r="A24" s="2" t="s">
        <v>109</v>
      </c>
      <c r="B24" s="2" t="s">
        <v>545</v>
      </c>
      <c r="C24" s="2" t="s">
        <v>546</v>
      </c>
      <c r="D24" s="2" t="n">
        <v>2025</v>
      </c>
      <c r="E24" s="2" t="s">
        <v>107</v>
      </c>
      <c r="F24" s="18" t="s">
        <v>549</v>
      </c>
      <c r="G24" s="2" t="s">
        <v>3016</v>
      </c>
      <c r="H24" s="19"/>
    </row>
    <row r="25" customFormat="false" ht="23.85" hidden="false" customHeight="false" outlineLevel="0" collapsed="false">
      <c r="A25" s="2" t="s">
        <v>109</v>
      </c>
      <c r="B25" s="2" t="s">
        <v>1016</v>
      </c>
      <c r="C25" s="2" t="s">
        <v>1017</v>
      </c>
      <c r="D25" s="2" t="n">
        <v>2026</v>
      </c>
      <c r="E25" s="2" t="s">
        <v>107</v>
      </c>
      <c r="F25" s="18" t="s">
        <v>1020</v>
      </c>
      <c r="G25" s="2" t="s">
        <v>3017</v>
      </c>
      <c r="H25" s="19"/>
    </row>
    <row r="26" customFormat="false" ht="23.85" hidden="false" customHeight="false" outlineLevel="0" collapsed="false">
      <c r="A26" s="2" t="s">
        <v>109</v>
      </c>
      <c r="B26" s="2" t="s">
        <v>1495</v>
      </c>
      <c r="C26" s="2" t="s">
        <v>1496</v>
      </c>
      <c r="D26" s="2" t="n">
        <v>2026</v>
      </c>
      <c r="E26" s="2" t="s">
        <v>107</v>
      </c>
      <c r="F26" s="18" t="s">
        <v>1498</v>
      </c>
      <c r="G26" s="2" t="s">
        <v>3018</v>
      </c>
      <c r="H26" s="19"/>
    </row>
    <row r="27" customFormat="false" ht="23.85" hidden="false" customHeight="false" outlineLevel="0" collapsed="false">
      <c r="A27" s="2" t="s">
        <v>109</v>
      </c>
      <c r="B27" s="2" t="s">
        <v>1775</v>
      </c>
      <c r="C27" s="2" t="s">
        <v>1776</v>
      </c>
      <c r="D27" s="2" t="n">
        <v>2026</v>
      </c>
      <c r="E27" s="2" t="s">
        <v>107</v>
      </c>
      <c r="F27" s="18" t="s">
        <v>1779</v>
      </c>
      <c r="G27" s="2" t="s">
        <v>3019</v>
      </c>
      <c r="H27" s="19"/>
    </row>
    <row r="28" customFormat="false" ht="23.85" hidden="false" customHeight="false" outlineLevel="0" collapsed="false">
      <c r="A28" s="2" t="s">
        <v>115</v>
      </c>
      <c r="B28" s="2" t="s">
        <v>1974</v>
      </c>
      <c r="C28" s="2" t="s">
        <v>1975</v>
      </c>
      <c r="D28" s="2" t="n">
        <v>2019</v>
      </c>
      <c r="E28" s="2" t="s">
        <v>118</v>
      </c>
      <c r="F28" s="18" t="s">
        <v>1977</v>
      </c>
      <c r="G28" s="2" t="s">
        <v>3020</v>
      </c>
      <c r="H28" s="19"/>
    </row>
    <row r="29" customFormat="false" ht="23.85" hidden="false" customHeight="false" outlineLevel="0" collapsed="false">
      <c r="A29" s="2" t="s">
        <v>115</v>
      </c>
      <c r="B29" s="2" t="s">
        <v>1915</v>
      </c>
      <c r="C29" s="2" t="s">
        <v>1916</v>
      </c>
      <c r="D29" s="2" t="n">
        <v>2025</v>
      </c>
      <c r="E29" s="2" t="s">
        <v>118</v>
      </c>
      <c r="F29" s="18" t="s">
        <v>1919</v>
      </c>
      <c r="G29" s="2" t="s">
        <v>3021</v>
      </c>
      <c r="H29" s="19"/>
    </row>
    <row r="30" customFormat="false" ht="23.85" hidden="false" customHeight="false" outlineLevel="0" collapsed="false">
      <c r="A30" s="2" t="s">
        <v>115</v>
      </c>
      <c r="B30" s="2" t="s">
        <v>1950</v>
      </c>
      <c r="C30" s="2" t="s">
        <v>1951</v>
      </c>
      <c r="D30" s="2" t="n">
        <v>2025</v>
      </c>
      <c r="E30" s="2" t="s">
        <v>118</v>
      </c>
      <c r="F30" s="18" t="s">
        <v>1954</v>
      </c>
      <c r="G30" s="2" t="s">
        <v>3022</v>
      </c>
      <c r="H30" s="19"/>
    </row>
    <row r="31" customFormat="false" ht="23.85" hidden="false" customHeight="false" outlineLevel="0" collapsed="false">
      <c r="A31" s="2" t="s">
        <v>115</v>
      </c>
      <c r="B31" s="2" t="s">
        <v>2107</v>
      </c>
      <c r="C31" s="2" t="s">
        <v>2108</v>
      </c>
      <c r="D31" s="2" t="n">
        <v>2025</v>
      </c>
      <c r="E31" s="2" t="s">
        <v>118</v>
      </c>
      <c r="F31" s="18" t="s">
        <v>2111</v>
      </c>
      <c r="G31" s="2" t="s">
        <v>3023</v>
      </c>
      <c r="H31" s="19"/>
    </row>
    <row r="32" customFormat="false" ht="15" hidden="false" customHeight="false" outlineLevel="0" collapsed="false">
      <c r="A32" s="2" t="s">
        <v>115</v>
      </c>
      <c r="B32" s="2" t="s">
        <v>2148</v>
      </c>
      <c r="C32" s="2" t="s">
        <v>2149</v>
      </c>
      <c r="D32" s="2" t="n">
        <v>2025</v>
      </c>
      <c r="E32" s="2" t="s">
        <v>118</v>
      </c>
      <c r="F32" s="18" t="s">
        <v>2152</v>
      </c>
      <c r="G32" s="2" t="s">
        <v>3024</v>
      </c>
      <c r="H32" s="19"/>
    </row>
    <row r="33" customFormat="false" ht="23.85" hidden="false" customHeight="false" outlineLevel="0" collapsed="false">
      <c r="A33" s="2" t="s">
        <v>115</v>
      </c>
      <c r="B33" s="2" t="s">
        <v>1893</v>
      </c>
      <c r="C33" s="2" t="s">
        <v>1894</v>
      </c>
      <c r="D33" s="2" t="n">
        <v>2021</v>
      </c>
      <c r="E33" s="2" t="s">
        <v>116</v>
      </c>
      <c r="F33" s="18" t="s">
        <v>1897</v>
      </c>
      <c r="G33" s="2" t="s">
        <v>3025</v>
      </c>
      <c r="H33" s="19"/>
    </row>
    <row r="34" customFormat="false" ht="23.85" hidden="false" customHeight="false" outlineLevel="0" collapsed="false">
      <c r="A34" s="2" t="s">
        <v>115</v>
      </c>
      <c r="B34" s="2" t="s">
        <v>2164</v>
      </c>
      <c r="C34" s="2" t="s">
        <v>2165</v>
      </c>
      <c r="D34" s="2" t="n">
        <v>2022</v>
      </c>
      <c r="E34" s="2" t="s">
        <v>116</v>
      </c>
      <c r="F34" s="18" t="s">
        <v>2168</v>
      </c>
      <c r="G34" s="2" t="s">
        <v>3026</v>
      </c>
      <c r="H34" s="19"/>
    </row>
    <row r="35" customFormat="false" ht="23.85" hidden="false" customHeight="false" outlineLevel="0" collapsed="false">
      <c r="A35" s="2" t="s">
        <v>115</v>
      </c>
      <c r="B35" s="2" t="s">
        <v>2248</v>
      </c>
      <c r="C35" s="2" t="s">
        <v>2249</v>
      </c>
      <c r="D35" s="2" t="n">
        <v>2023</v>
      </c>
      <c r="E35" s="2" t="s">
        <v>116</v>
      </c>
      <c r="F35" s="18" t="s">
        <v>2252</v>
      </c>
      <c r="G35" s="2" t="s">
        <v>3027</v>
      </c>
      <c r="H35" s="19"/>
    </row>
    <row r="36" customFormat="false" ht="15" hidden="false" customHeight="false" outlineLevel="0" collapsed="false">
      <c r="A36" s="2" t="s">
        <v>115</v>
      </c>
      <c r="B36" s="2" t="s">
        <v>1962</v>
      </c>
      <c r="C36" s="2" t="s">
        <v>1963</v>
      </c>
      <c r="D36" s="2" t="n">
        <v>2025</v>
      </c>
      <c r="E36" s="2" t="s">
        <v>116</v>
      </c>
      <c r="F36" s="18" t="s">
        <v>1966</v>
      </c>
      <c r="G36" s="2" t="s">
        <v>3028</v>
      </c>
      <c r="H36" s="19"/>
    </row>
    <row r="37" customFormat="false" ht="23.85" hidden="false" customHeight="false" outlineLevel="0" collapsed="false">
      <c r="A37" s="2" t="s">
        <v>115</v>
      </c>
      <c r="B37" s="2" t="s">
        <v>2196</v>
      </c>
      <c r="C37" s="2" t="s">
        <v>2197</v>
      </c>
      <c r="D37" s="2" t="n">
        <v>2025</v>
      </c>
      <c r="E37" s="2" t="s">
        <v>116</v>
      </c>
      <c r="F37" s="18" t="s">
        <v>2200</v>
      </c>
      <c r="G37" s="2" t="s">
        <v>3029</v>
      </c>
      <c r="H37" s="19"/>
    </row>
    <row r="38" customFormat="false" ht="15" hidden="false" customHeight="false" outlineLevel="0" collapsed="false">
      <c r="A38" s="2" t="s">
        <v>115</v>
      </c>
      <c r="B38" s="2" t="s">
        <v>2647</v>
      </c>
      <c r="C38" s="2" t="s">
        <v>2648</v>
      </c>
      <c r="D38" s="2" t="n">
        <v>2025</v>
      </c>
      <c r="E38" s="2" t="s">
        <v>116</v>
      </c>
      <c r="F38" s="18" t="s">
        <v>2651</v>
      </c>
      <c r="G38" s="2" t="s">
        <v>3030</v>
      </c>
      <c r="H38" s="19"/>
    </row>
    <row r="39" customFormat="false" ht="23.85" hidden="false" customHeight="false" outlineLevel="0" collapsed="false">
      <c r="A39" s="2" t="s">
        <v>115</v>
      </c>
      <c r="B39" s="2" t="s">
        <v>2529</v>
      </c>
      <c r="C39" s="2" t="s">
        <v>2530</v>
      </c>
      <c r="D39" s="2" t="n">
        <v>2026</v>
      </c>
      <c r="E39" s="2" t="s">
        <v>116</v>
      </c>
      <c r="F39" s="18" t="s">
        <v>2532</v>
      </c>
      <c r="G39" s="2" t="s">
        <v>3031</v>
      </c>
      <c r="H39" s="19"/>
    </row>
    <row r="40" customFormat="false" ht="23.85" hidden="false" customHeight="false" outlineLevel="0" collapsed="false">
      <c r="A40" s="2" t="s">
        <v>115</v>
      </c>
      <c r="B40" s="2" t="s">
        <v>1939</v>
      </c>
      <c r="C40" s="2" t="s">
        <v>1940</v>
      </c>
      <c r="D40" s="2" t="n">
        <v>2018</v>
      </c>
      <c r="E40" s="2" t="s">
        <v>120</v>
      </c>
      <c r="F40" s="18" t="s">
        <v>1943</v>
      </c>
      <c r="G40" s="2" t="s">
        <v>3032</v>
      </c>
      <c r="H40" s="19"/>
    </row>
    <row r="41" customFormat="false" ht="23.85" hidden="false" customHeight="false" outlineLevel="0" collapsed="false">
      <c r="A41" s="2" t="s">
        <v>115</v>
      </c>
      <c r="B41" s="2" t="s">
        <v>2374</v>
      </c>
      <c r="C41" s="2" t="s">
        <v>2375</v>
      </c>
      <c r="D41" s="2" t="n">
        <v>2025</v>
      </c>
      <c r="E41" s="2" t="s">
        <v>120</v>
      </c>
      <c r="F41" s="18" t="s">
        <v>2378</v>
      </c>
      <c r="G41" s="2" t="s">
        <v>3033</v>
      </c>
      <c r="H41" s="19"/>
    </row>
    <row r="42" customFormat="false" ht="23.85" hidden="false" customHeight="false" outlineLevel="0" collapsed="false">
      <c r="A42" s="2" t="s">
        <v>115</v>
      </c>
      <c r="B42" s="2" t="s">
        <v>2565</v>
      </c>
      <c r="C42" s="2" t="s">
        <v>2566</v>
      </c>
      <c r="D42" s="2" t="n">
        <v>2025</v>
      </c>
      <c r="E42" s="2" t="s">
        <v>120</v>
      </c>
      <c r="F42" s="18" t="s">
        <v>2569</v>
      </c>
      <c r="G42" s="2" t="s">
        <v>3034</v>
      </c>
      <c r="H42" s="19"/>
    </row>
    <row r="43" customFormat="false" ht="23.85" hidden="false" customHeight="false" outlineLevel="0" collapsed="false">
      <c r="A43" s="2" t="s">
        <v>115</v>
      </c>
      <c r="B43" s="2" t="s">
        <v>1825</v>
      </c>
      <c r="C43" s="2" t="s">
        <v>1826</v>
      </c>
      <c r="D43" s="2" t="n">
        <v>2026</v>
      </c>
      <c r="E43" s="2" t="s">
        <v>120</v>
      </c>
      <c r="F43" s="18" t="s">
        <v>1828</v>
      </c>
      <c r="G43" s="2" t="s">
        <v>3035</v>
      </c>
      <c r="H43" s="19"/>
    </row>
    <row r="44" customFormat="false" ht="35.05" hidden="false" customHeight="false" outlineLevel="0" collapsed="false">
      <c r="A44" s="2" t="s">
        <v>115</v>
      </c>
      <c r="B44" s="2" t="s">
        <v>2457</v>
      </c>
      <c r="C44" s="2" t="s">
        <v>2458</v>
      </c>
      <c r="D44" s="2" t="n">
        <v>2026</v>
      </c>
      <c r="E44" s="2" t="s">
        <v>120</v>
      </c>
      <c r="F44" s="18" t="s">
        <v>2461</v>
      </c>
      <c r="G44" s="2" t="s">
        <v>3036</v>
      </c>
      <c r="H44" s="19"/>
    </row>
    <row r="45" customFormat="false" ht="23.85" hidden="false" customHeight="false" outlineLevel="0" collapsed="false">
      <c r="A45" s="2" t="s">
        <v>115</v>
      </c>
      <c r="B45" s="2" t="s">
        <v>1532</v>
      </c>
      <c r="C45" s="2" t="s">
        <v>1533</v>
      </c>
      <c r="D45" s="2" t="n">
        <v>2026</v>
      </c>
      <c r="E45" s="2" t="s">
        <v>113</v>
      </c>
      <c r="F45" s="18" t="s">
        <v>1535</v>
      </c>
      <c r="G45" s="2" t="s">
        <v>3037</v>
      </c>
      <c r="H45" s="19"/>
    </row>
  </sheetData>
  <autoFilter ref="A1:H45"/>
  <hyperlinks>
    <hyperlink ref="F2" r:id="rId1" display="10.3390/electronics13061055"/>
    <hyperlink ref="F3" r:id="rId2" display="10.1109/icecie66637.2025.11363862"/>
    <hyperlink ref="F4" r:id="rId3" display="10.3390/s26185839"/>
    <hyperlink ref="F5" r:id="rId4" display="10.1049/cmu2.70221"/>
    <hyperlink ref="F6" r:id="rId5" display="10.1109/access.2017.2755858"/>
    <hyperlink ref="F7" r:id="rId6" display="10.1016/j.future.2022.05.028"/>
    <hyperlink ref="F8" r:id="rId7" display="10.3390/fi15110366"/>
    <hyperlink ref="F9" r:id="rId8" display="10.1109/itnac62915.2024.10815298"/>
    <hyperlink ref="F10" r:id="rId9" display="10.1109/icoin63865.2025.10992870"/>
    <hyperlink ref="F11" r:id="rId10" display="10.1109/wowmom.2018.8449743"/>
    <hyperlink ref="F12" r:id="rId11" display="10.1109/access.2022.3217215"/>
    <hyperlink ref="F13" r:id="rId12" display="10.1109/jiot.2023.3281941"/>
    <hyperlink ref="F14" r:id="rId13" display="10.1109/access.2024.3443605"/>
    <hyperlink ref="F15" r:id="rId14" display="10.3390/s25196036"/>
    <hyperlink ref="F16" r:id="rId15" display="10.1016/j.softx.2026.102570"/>
    <hyperlink ref="F17" r:id="rId16" display="10.1109/meditcom67211.2026.11641097"/>
    <hyperlink ref="F18" r:id="rId17" display="10.1109/access.2024.3494038"/>
    <hyperlink ref="F19" r:id="rId18" display="10.1109/mcom.001.2000053"/>
    <hyperlink ref="F20" r:id="rId19" display="10.11591/ijeecs.v34.i2.pp960-969"/>
    <hyperlink ref="F21" r:id="rId20" display="10.1145/3638241"/>
    <hyperlink ref="F22" r:id="rId21" display="10.1109/ecai69016.2026.11613664"/>
    <hyperlink ref="F23" r:id="rId22" display="10.1007/978-3-030-61746-2_17"/>
    <hyperlink ref="F24" r:id="rId23" display="10.1109/naecon65708.2025.11235480"/>
    <hyperlink ref="F25" r:id="rId24" display="10.1109/imcet69180.2026.11503782"/>
    <hyperlink ref="F26" r:id="rId25" display="10.1109/jiot.2026.3675915"/>
    <hyperlink ref="F27" r:id="rId26" display="10.1145/3819836.3819848"/>
    <hyperlink ref="F28" r:id="rId27" display="10.3390/s19010015"/>
    <hyperlink ref="F29" r:id="rId28" display="10.1109/sbesc68008.2025.11288889"/>
    <hyperlink ref="F30" r:id="rId29" display="10.5194/isprs-archives-xlviii-4-w16-2025-105-2025"/>
    <hyperlink ref="F31" r:id="rId30" display="10.1016/j.eij.2025.100818"/>
    <hyperlink ref="F32" r:id="rId31" display="10.3390/app15074071"/>
    <hyperlink ref="F33" r:id="rId32" display="10.1109/icadeis52521.2021.9702081"/>
    <hyperlink ref="F34" r:id="rId33" display="10.1109/indin51773.2022.9976108"/>
    <hyperlink ref="F35" r:id="rId34" display="10.1109/aiiot58121.2023.10174401"/>
    <hyperlink ref="F36" r:id="rId35" display="10.1109/icft66708.2025.11336368"/>
    <hyperlink ref="F37" r:id="rId36" display="10.1109/isct66099.2025.11297330"/>
    <hyperlink ref="F38" r:id="rId37" display="10.17586/2226-1494-2025-25-5-923-932"/>
    <hyperlink ref="F39" r:id="rId38" display="10.1063/5.0322488"/>
    <hyperlink ref="F40" r:id="rId39" display="10.1109/giots.2018.8534575"/>
    <hyperlink ref="F41" r:id="rId40" display="10.1109/cits65975.2025.11099413"/>
    <hyperlink ref="F42" r:id="rId41" display="10.5220/0013508400003979"/>
    <hyperlink ref="F43" r:id="rId42" display="10.1109/blackseacom69760.2026.11598536"/>
    <hyperlink ref="F44" r:id="rId43" display="10.1371/journal.pone.0355179"/>
    <hyperlink ref="F45" r:id="rId44" display="10.1109/jiot.2025.364931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2026-10-07T20:41:52Z</dcterms:created>
  <dc:creator>openpyxl</dc:creator>
  <dc:description/>
  <dc:language>en-US</dc:language>
  <cp:lastModifiedBy/>
  <dcterms:modified xsi:type="dcterms:W3CDTF">2026-10-07T20:41:53Z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